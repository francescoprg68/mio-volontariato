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3.xml" ContentType="application/vnd.openxmlformats-officedocument.spreadsheetml.comments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OLONTARIATO\"/>
    </mc:Choice>
  </mc:AlternateContent>
  <xr:revisionPtr revIDLastSave="0" documentId="13_ncr:1_{5724630D-80B2-4555-838A-F0C83CE249A4}" xr6:coauthVersionLast="47" xr6:coauthVersionMax="47" xr10:uidLastSave="{00000000-0000-0000-0000-000000000000}"/>
  <bookViews>
    <workbookView xWindow="-120" yWindow="-120" windowWidth="29040" windowHeight="15840" tabRatio="762" firstSheet="1" activeTab="25" xr2:uid="{27BA5D1F-2BAC-4ED2-9DCC-F5A2BB7B64A1}"/>
  </bookViews>
  <sheets>
    <sheet name="2003" sheetId="1" r:id="rId1"/>
    <sheet name="2004" sheetId="2" r:id="rId2"/>
    <sheet name="2005" sheetId="3" r:id="rId3"/>
    <sheet name="2006" sheetId="4" r:id="rId4"/>
    <sheet name="2007" sheetId="5" r:id="rId5"/>
    <sheet name="2008" sheetId="6" r:id="rId6"/>
    <sheet name="2009" sheetId="7" r:id="rId7"/>
    <sheet name="2010" sheetId="8" r:id="rId8"/>
    <sheet name="2011" sheetId="9" r:id="rId9"/>
    <sheet name="2012" sheetId="10" r:id="rId10"/>
    <sheet name="2013" sheetId="11" r:id="rId11"/>
    <sheet name="2014" sheetId="12" r:id="rId12"/>
    <sheet name="2015" sheetId="13" r:id="rId13"/>
    <sheet name="2016" sheetId="14" r:id="rId14"/>
    <sheet name="2017" sheetId="15" r:id="rId15"/>
    <sheet name="2018" sheetId="17" r:id="rId16"/>
    <sheet name="2019" sheetId="18" r:id="rId17"/>
    <sheet name="2020" sheetId="19" r:id="rId18"/>
    <sheet name="2021" sheetId="20" r:id="rId19"/>
    <sheet name="2022" sheetId="23" r:id="rId20"/>
    <sheet name="RIEPILOGO SERVIZI VENTENNIO OLD" sheetId="21" state="hidden" r:id="rId21"/>
    <sheet name="2023" sheetId="24" r:id="rId22"/>
    <sheet name="2024" sheetId="25" r:id="rId23"/>
    <sheet name="2025" sheetId="26" r:id="rId24"/>
    <sheet name="2026" sheetId="28" r:id="rId25"/>
    <sheet name="RIEPILOGO" sheetId="22" r:id="rId26"/>
    <sheet name="Foglio1" sheetId="29" r:id="rId27"/>
    <sheet name="RIEPILOGO SERVIZI" sheetId="16" state="hidden" r:id="rId28"/>
  </sheets>
  <definedNames>
    <definedName name="_xlnm._FilterDatabase" localSheetId="17" hidden="1">'2020'!$B$9:$G$9</definedName>
    <definedName name="_xlnm._FilterDatabase" localSheetId="25" hidden="1">RIEPILOGO!$A$2:$K$2</definedName>
    <definedName name="_xlnm.Print_Titles" localSheetId="25">RIEPILOGO!#REF!</definedName>
  </definedNames>
  <calcPr calcId="191029"/>
</workbook>
</file>

<file path=xl/calcChain.xml><?xml version="1.0" encoding="utf-8"?>
<calcChain xmlns="http://schemas.openxmlformats.org/spreadsheetml/2006/main">
  <c r="D71" i="22" l="1"/>
  <c r="D539" i="22"/>
  <c r="D538" i="22"/>
  <c r="D537" i="22"/>
  <c r="D536" i="22"/>
  <c r="D535" i="22"/>
  <c r="D534" i="22"/>
  <c r="D533" i="22"/>
  <c r="D532" i="22"/>
  <c r="D531" i="22"/>
  <c r="D530" i="22"/>
  <c r="D529" i="22"/>
  <c r="D528" i="22"/>
  <c r="D527" i="22"/>
  <c r="D526" i="22"/>
  <c r="D525" i="22"/>
  <c r="D524" i="22"/>
  <c r="D523" i="22"/>
  <c r="D522" i="22"/>
  <c r="D520" i="22"/>
  <c r="D519" i="22"/>
  <c r="D518" i="22"/>
  <c r="D517" i="22"/>
  <c r="D516" i="22"/>
  <c r="F16" i="28"/>
  <c r="F15" i="28"/>
  <c r="F14" i="28"/>
  <c r="F13" i="28"/>
  <c r="A30" i="29"/>
  <c r="B30" i="29"/>
  <c r="G26" i="29"/>
  <c r="G25" i="29"/>
  <c r="G24" i="29"/>
  <c r="G23" i="29"/>
  <c r="G22" i="29"/>
  <c r="C22" i="29"/>
  <c r="B21" i="29"/>
  <c r="G20" i="29"/>
  <c r="G19" i="29"/>
  <c r="G17" i="29"/>
  <c r="G16" i="29"/>
  <c r="G15" i="29"/>
  <c r="G14" i="29"/>
  <c r="G13" i="29"/>
  <c r="C13" i="29"/>
  <c r="B12" i="29"/>
  <c r="G11" i="29"/>
  <c r="G10" i="29"/>
  <c r="G9" i="29"/>
  <c r="G8" i="29"/>
  <c r="G7" i="29"/>
  <c r="G6" i="29"/>
  <c r="G5" i="29"/>
  <c r="C5" i="29"/>
  <c r="B4" i="29"/>
  <c r="F11" i="28"/>
  <c r="F12" i="28"/>
  <c r="F10" i="28"/>
  <c r="F9" i="28"/>
  <c r="F8" i="28"/>
  <c r="F15" i="26"/>
  <c r="F14" i="26"/>
  <c r="F12" i="26"/>
  <c r="F11" i="26"/>
  <c r="F9" i="26"/>
  <c r="F10" i="26"/>
  <c r="F8" i="26"/>
  <c r="F14" i="25"/>
  <c r="D515" i="22"/>
  <c r="F13" i="25"/>
  <c r="D514" i="22"/>
  <c r="F12" i="25"/>
  <c r="D513" i="22"/>
  <c r="D512" i="22"/>
  <c r="F11" i="25"/>
  <c r="F10" i="25"/>
  <c r="D511" i="22"/>
  <c r="D510" i="22"/>
  <c r="F9" i="25"/>
  <c r="F8" i="25"/>
  <c r="D509" i="22"/>
  <c r="D503" i="22"/>
  <c r="D504" i="22"/>
  <c r="D505" i="22"/>
  <c r="D506" i="22"/>
  <c r="D507" i="22"/>
  <c r="D508" i="22"/>
  <c r="F12" i="24"/>
  <c r="F13" i="24"/>
  <c r="F11" i="24"/>
  <c r="F10" i="24"/>
  <c r="F6" i="24"/>
  <c r="F9" i="24"/>
  <c r="F8" i="24"/>
  <c r="F16" i="23"/>
  <c r="D502" i="22"/>
  <c r="D501" i="22"/>
  <c r="F15" i="23"/>
  <c r="F14" i="23"/>
  <c r="D500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499" i="22"/>
  <c r="D498" i="22"/>
  <c r="D497" i="22"/>
  <c r="D496" i="22"/>
  <c r="D487" i="22"/>
  <c r="D488" i="22"/>
  <c r="D489" i="22"/>
  <c r="D490" i="22"/>
  <c r="D491" i="22"/>
  <c r="D492" i="22"/>
  <c r="D493" i="22"/>
  <c r="D494" i="22"/>
  <c r="D495" i="22"/>
  <c r="F12" i="23"/>
  <c r="F11" i="23"/>
  <c r="F13" i="23"/>
  <c r="F10" i="23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0" i="22"/>
  <c r="D69" i="22"/>
  <c r="D68" i="22"/>
  <c r="D67" i="22"/>
  <c r="D66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48" i="22"/>
  <c r="D349" i="22"/>
  <c r="D350" i="22"/>
  <c r="D351" i="22"/>
  <c r="D352" i="22"/>
  <c r="D353" i="22"/>
  <c r="D354" i="22"/>
  <c r="D355" i="22"/>
  <c r="D356" i="22"/>
  <c r="D357" i="22"/>
  <c r="D358" i="22"/>
  <c r="D359" i="22"/>
  <c r="D360" i="22"/>
  <c r="D361" i="22"/>
  <c r="D362" i="22"/>
  <c r="D363" i="22"/>
  <c r="D364" i="22"/>
  <c r="D365" i="22"/>
  <c r="D366" i="22"/>
  <c r="D367" i="22"/>
  <c r="D368" i="22"/>
  <c r="D369" i="22"/>
  <c r="D370" i="22"/>
  <c r="D371" i="22"/>
  <c r="D372" i="22"/>
  <c r="D373" i="22"/>
  <c r="D374" i="22"/>
  <c r="D375" i="22"/>
  <c r="D376" i="22"/>
  <c r="D377" i="22"/>
  <c r="D378" i="22"/>
  <c r="D379" i="22"/>
  <c r="D380" i="22"/>
  <c r="D381" i="22"/>
  <c r="D382" i="22"/>
  <c r="D383" i="22"/>
  <c r="D384" i="22"/>
  <c r="D385" i="22"/>
  <c r="D386" i="22"/>
  <c r="D387" i="22"/>
  <c r="D388" i="22"/>
  <c r="D389" i="22"/>
  <c r="D390" i="22"/>
  <c r="D391" i="22"/>
  <c r="D392" i="22"/>
  <c r="D393" i="22"/>
  <c r="D394" i="22"/>
  <c r="D395" i="22"/>
  <c r="D396" i="22"/>
  <c r="F18" i="20"/>
  <c r="F17" i="20"/>
  <c r="F16" i="20"/>
  <c r="F15" i="20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398" i="22"/>
  <c r="D399" i="22"/>
  <c r="D400" i="22"/>
  <c r="D401" i="22"/>
  <c r="D402" i="22"/>
  <c r="D403" i="22"/>
  <c r="D404" i="22"/>
  <c r="D405" i="22"/>
  <c r="D406" i="22"/>
  <c r="D407" i="22"/>
  <c r="D408" i="22"/>
  <c r="D409" i="22"/>
  <c r="D410" i="22"/>
  <c r="D411" i="22"/>
  <c r="D412" i="22"/>
  <c r="D413" i="22"/>
  <c r="D414" i="22"/>
  <c r="D415" i="22"/>
  <c r="D416" i="22"/>
  <c r="D417" i="22"/>
  <c r="D418" i="22"/>
  <c r="D419" i="22"/>
  <c r="D420" i="22"/>
  <c r="D421" i="22"/>
  <c r="D422" i="22"/>
  <c r="D423" i="22"/>
  <c r="D424" i="22"/>
  <c r="D425" i="22"/>
  <c r="D426" i="22"/>
  <c r="D427" i="22"/>
  <c r="D428" i="22"/>
  <c r="D486" i="22"/>
  <c r="D485" i="22"/>
  <c r="D484" i="22"/>
  <c r="D483" i="22"/>
  <c r="D482" i="22"/>
  <c r="D481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63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4" i="22"/>
  <c r="D65" i="22"/>
  <c r="D36" i="22"/>
  <c r="D35" i="22"/>
  <c r="D34" i="22"/>
  <c r="D33" i="22"/>
  <c r="D32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3" i="22"/>
  <c r="D4" i="22"/>
  <c r="D5" i="22"/>
  <c r="D6" i="22"/>
  <c r="D7" i="22"/>
  <c r="D8" i="22"/>
  <c r="D9" i="22"/>
  <c r="D10" i="22"/>
  <c r="D11" i="22"/>
  <c r="D12" i="22"/>
  <c r="D2" i="22"/>
  <c r="E42" i="21"/>
  <c r="E43" i="21"/>
  <c r="E44" i="21"/>
  <c r="E45" i="21"/>
  <c r="E46" i="21"/>
  <c r="E47" i="21"/>
  <c r="E48" i="21"/>
  <c r="E49" i="21"/>
  <c r="E50" i="21"/>
  <c r="E51" i="21"/>
  <c r="E52" i="21"/>
  <c r="E53" i="21"/>
  <c r="E41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16" i="21"/>
  <c r="E9" i="21"/>
  <c r="E10" i="21"/>
  <c r="E5" i="21"/>
  <c r="E11" i="21"/>
  <c r="E12" i="21"/>
  <c r="E8" i="21"/>
  <c r="F14" i="20"/>
  <c r="F13" i="20"/>
  <c r="F12" i="20"/>
  <c r="F11" i="20"/>
  <c r="F10" i="20"/>
  <c r="F8" i="20"/>
  <c r="E37" i="19"/>
  <c r="E36" i="19"/>
  <c r="E35" i="19"/>
  <c r="E34" i="19"/>
  <c r="E30" i="19"/>
  <c r="E31" i="19"/>
  <c r="E32" i="19"/>
  <c r="E33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0" i="19"/>
  <c r="E11" i="19"/>
  <c r="E8" i="19"/>
  <c r="E12" i="19"/>
  <c r="E14" i="19"/>
  <c r="E13" i="19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C3" i="16"/>
  <c r="F4" i="16"/>
  <c r="E4" i="16"/>
  <c r="F8" i="23"/>
  <c r="F6" i="25"/>
  <c r="F6" i="26"/>
  <c r="H13" i="29"/>
  <c r="E12" i="29"/>
  <c r="H5" i="29"/>
  <c r="E4" i="29"/>
  <c r="H22" i="29"/>
  <c r="E21" i="29"/>
  <c r="F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</author>
  </authors>
  <commentList>
    <comment ref="D84" authorId="0" shapeId="0" xr:uid="{28B2998F-6F46-4532-9132-A2C990F428A8}">
      <text>
        <r>
          <rPr>
            <b/>
            <sz val="8"/>
            <color indexed="81"/>
            <rFont val="Tahoma"/>
            <family val="2"/>
          </rPr>
          <t>FRANCESCO:</t>
        </r>
        <r>
          <rPr>
            <sz val="8"/>
            <color indexed="81"/>
            <rFont val="Tahoma"/>
            <family val="2"/>
          </rPr>
          <t xml:space="preserve">
ALFIERE _ PORTO STENDARDO DELL'ANC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</author>
  </authors>
  <commentList>
    <comment ref="D448" authorId="0" shapeId="0" xr:uid="{2DA7273E-8474-4CDD-8057-B135BB564D04}">
      <text>
        <r>
          <rPr>
            <b/>
            <sz val="8"/>
            <color indexed="81"/>
            <rFont val="Tahoma"/>
            <family val="2"/>
          </rPr>
          <t>FRANCESCO:</t>
        </r>
        <r>
          <rPr>
            <sz val="8"/>
            <color indexed="81"/>
            <rFont val="Tahoma"/>
            <family val="2"/>
          </rPr>
          <t xml:space="preserve">
ALFIERE _ PORTO STENDARDO DELL'ANC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</author>
  </authors>
  <commentList>
    <comment ref="E104" authorId="0" shapeId="0" xr:uid="{DB8D0FFC-DCFB-48AF-A173-58EF73166374}">
      <text>
        <r>
          <rPr>
            <b/>
            <sz val="8"/>
            <color indexed="81"/>
            <rFont val="Tahoma"/>
            <family val="2"/>
          </rPr>
          <t>FRANCESCO:</t>
        </r>
        <r>
          <rPr>
            <sz val="8"/>
            <color indexed="81"/>
            <rFont val="Tahoma"/>
            <family val="2"/>
          </rPr>
          <t xml:space="preserve">
ALFIERE _ PORTO STENDARDO DELL'ANC</t>
        </r>
      </text>
    </comment>
  </commentList>
</comments>
</file>

<file path=xl/sharedStrings.xml><?xml version="1.0" encoding="utf-8"?>
<sst xmlns="http://schemas.openxmlformats.org/spreadsheetml/2006/main" count="5398" uniqueCount="1012">
  <si>
    <t>SERVIZI DI VOLONTARIATO ANC ANNO 2003</t>
  </si>
  <si>
    <t>DATA</t>
  </si>
  <si>
    <t>TIPO DI SERVIZIO</t>
  </si>
  <si>
    <t>FASCIA ORARIA</t>
  </si>
  <si>
    <t>9,30 - 12,30</t>
  </si>
  <si>
    <t>20 - 24</t>
  </si>
  <si>
    <t>TORINO ESPOSIZIONI - Vigilanza manifestazione</t>
  </si>
  <si>
    <t>PALAZZO CHIABLESE - Vigilanza visite palazzo per giornata del FAI</t>
  </si>
  <si>
    <t>HOTEL MAJESTIC - Vigilanza riunione TOROC</t>
  </si>
  <si>
    <t>14,15 - 19,00</t>
  </si>
  <si>
    <t>9,30 - 21,30</t>
  </si>
  <si>
    <t>SEDE ANC CASERMA CERNAIA - Scrutinatore per votazioni</t>
  </si>
  <si>
    <t>CHIESA SAN DONATO IN V.LE CHIUSE - Vigilanza processione</t>
  </si>
  <si>
    <t>20,20 - 21,00</t>
  </si>
  <si>
    <t>MARIA AUSILIATRICE - Vigilanza processione</t>
  </si>
  <si>
    <t>19,30 - 23,30</t>
  </si>
  <si>
    <t>CONSOLATA -Vigilanza processione</t>
  </si>
  <si>
    <t>LINGOTTO - Viglianza riunione TOROC</t>
  </si>
  <si>
    <t>13,30 - 18,00</t>
  </si>
  <si>
    <t>P.ZZA CASTELLO - Vigilanza vendita piante per Associazione Leucemia</t>
  </si>
  <si>
    <t>13,30 - 19,30</t>
  </si>
  <si>
    <t>P.ZZA SAN CARLO - Vigilanza vendita piante per Associazione Leucemia</t>
  </si>
  <si>
    <t>VIA BOLOGNA ANG. C.SO NOVARA - Inaugurazione nuova sede TOROC</t>
  </si>
  <si>
    <t>7,45 - 13,45</t>
  </si>
  <si>
    <t>SERVIZI DI VOLONTARIATO ANC ANNO 2004</t>
  </si>
  <si>
    <t>MUSEO EGIZIO - Vigilanza durante visite</t>
  </si>
  <si>
    <t>9,00 - 13,30</t>
  </si>
  <si>
    <t>RAI - V.VERDI 31 - Giornata del FAI</t>
  </si>
  <si>
    <t>9,00 - 12,30</t>
  </si>
  <si>
    <t>VILLA DELLA REGINA - Giiornata del FAI</t>
  </si>
  <si>
    <t>14,00 - 18,00</t>
  </si>
  <si>
    <t>VIA ROMA ANG. P.ZZA S.CARLO - Giornata AIL</t>
  </si>
  <si>
    <t>9,00 - 14,00</t>
  </si>
  <si>
    <t>CHIESA DELLA SALUTE - Primo Venerdì</t>
  </si>
  <si>
    <t>19,00 - 23,00</t>
  </si>
  <si>
    <t>CHIESA IN C.SO TELESIO - Via CRUCIS - non fatta per pioggia</t>
  </si>
  <si>
    <t>SUPERGA - Servizio di vigilanza alla cupola</t>
  </si>
  <si>
    <t>14,00 - 19,00</t>
  </si>
  <si>
    <t>MARIA AUSILIATRICE - Processione e festa</t>
  </si>
  <si>
    <t>PIAZZETTA REALE - Festa dell' ARMA</t>
  </si>
  <si>
    <t>19,00 - 22,00</t>
  </si>
  <si>
    <t>CHIESA DELLA CONSOLATA - Festa della Consolata</t>
  </si>
  <si>
    <t>VIA ROMA - Corteo storico di San Giovanni</t>
  </si>
  <si>
    <t>18,00 - 23,30</t>
  </si>
  <si>
    <t>21,00 - 0,00</t>
  </si>
  <si>
    <t>CHIERI - Servizio di ordine pubblico al concerto di TIZIANO FERRO</t>
  </si>
  <si>
    <t>19,00 - 23,30</t>
  </si>
  <si>
    <t>VALENTINO - Pattugliamento in appoggio militari in servizio</t>
  </si>
  <si>
    <t>20,00 - 23,00</t>
  </si>
  <si>
    <t>20,00 - 0,00</t>
  </si>
  <si>
    <t>PALAZZETTO DELLO SPORT - Festa di Natale con i bambini</t>
  </si>
  <si>
    <t>13,30 - 18,30</t>
  </si>
  <si>
    <t>P.ZZA S.CARLO 161 - Giornata AIL</t>
  </si>
  <si>
    <t>14,00 -18,00</t>
  </si>
  <si>
    <t>SERVIZI DI VOLONTARIATO ANC ANNO 2005</t>
  </si>
  <si>
    <t>BOLAFFI in via Cavour 17 per vigilanza su mostra francobolli periodo guerra</t>
  </si>
  <si>
    <t>13,00 - 17,00</t>
  </si>
  <si>
    <t>CHIESA SANTA MARIA GORETTI in V.ACTIS 20 - VIA CRUCIS</t>
  </si>
  <si>
    <t>20,00 - 22,30</t>
  </si>
  <si>
    <t>9,00 - 13,00</t>
  </si>
  <si>
    <t>CHIESA GESU' REDENTORRE in P/zza GIOVANNI XXIII - VIA CRUCIS</t>
  </si>
  <si>
    <t>BASILICA DI SUPERGA - Vigilanza alle Tombe Reali</t>
  </si>
  <si>
    <t>14,30 - 18,45</t>
  </si>
  <si>
    <t>PALAZZETTO DELLO SPORT - Giornata fondazione O.A.S.I.</t>
  </si>
  <si>
    <t>14,00 - 17,30</t>
  </si>
  <si>
    <t xml:space="preserve">GIORNATA AIL - VIA ROMA 120 </t>
  </si>
  <si>
    <t xml:space="preserve">GIORNATA DEL FAI - Via Giulia di Barolo 3/A </t>
  </si>
  <si>
    <t xml:space="preserve">GIORNATA DEL FAI - Passeggiata del RE - Armeria Reale </t>
  </si>
  <si>
    <t>MOLINETTE - Convegno su prevenzione tumori</t>
  </si>
  <si>
    <t>9,00 - 11,30</t>
  </si>
  <si>
    <t>CHIESA MARIA AUSILIATRICE - Processione festa Maria Ausiliatrice</t>
  </si>
  <si>
    <t>18,30 - 23,30</t>
  </si>
  <si>
    <t>PIAZZA VITTORIO - PIAZZA CASTELLO - Corteo storico di San Giovanni</t>
  </si>
  <si>
    <t>17,30 - 23,30</t>
  </si>
  <si>
    <t>PIAZZA CASTELLO - Interculture e ONE WORLD</t>
  </si>
  <si>
    <t>9,00 - 15,00</t>
  </si>
  <si>
    <t>20,00 - 02,00</t>
  </si>
  <si>
    <t>19,00 - 02,00</t>
  </si>
  <si>
    <t>20,00 - 22,00</t>
  </si>
  <si>
    <t>CHIESA SANTA MARIA GORETTI in V.ACTIS 20 - PROCESSIONE</t>
  </si>
  <si>
    <t>PIAZZA CASTELLO - MAGLIO ( SERMIG ) - ONE WORLD</t>
  </si>
  <si>
    <t>PALAZZETTO DELLO SPORT - Festa dello Sport con i bambini</t>
  </si>
  <si>
    <t>20,30 - 22,00</t>
  </si>
  <si>
    <t>PARROCCHIA REGINA DELLE MISSIONI V.CIALDINI 20 - Presepe vivente</t>
  </si>
  <si>
    <t>SERVIZI DI VOLONTARIATO ANC ANNO 2006</t>
  </si>
  <si>
    <t>21,00 - 23,00</t>
  </si>
  <si>
    <r>
      <t xml:space="preserve">GIORNATA DEL FAI - Via M.Vittoria 4 e 6 - </t>
    </r>
    <r>
      <rPr>
        <b/>
        <i/>
        <u/>
        <sz val="10"/>
        <color indexed="10"/>
        <rFont val="Arial"/>
        <family val="2"/>
      </rPr>
      <t>REFERENTE DEL SERVIZIO</t>
    </r>
  </si>
  <si>
    <r>
      <t xml:space="preserve">GIORNATA AIL - Via Roma - </t>
    </r>
    <r>
      <rPr>
        <b/>
        <i/>
        <u/>
        <sz val="10"/>
        <color indexed="10"/>
        <rFont val="Arial"/>
        <family val="2"/>
      </rPr>
      <t>REFERENTE DEL SERVIZIO</t>
    </r>
  </si>
  <si>
    <r>
      <t xml:space="preserve">CHIESA SANTA MARIA GORETTI in V.ACTIS 20 - PROCESSIONE - </t>
    </r>
    <r>
      <rPr>
        <b/>
        <i/>
        <u/>
        <sz val="10"/>
        <color indexed="10"/>
        <rFont val="Arial"/>
        <family val="2"/>
      </rPr>
      <t>REF.</t>
    </r>
  </si>
  <si>
    <r>
      <t xml:space="preserve">PALAZZETTO DELLO SPORT - Giornata fondazione O.A.S.I.- </t>
    </r>
    <r>
      <rPr>
        <b/>
        <i/>
        <u/>
        <sz val="10"/>
        <color indexed="10"/>
        <rFont val="Arial"/>
        <family val="2"/>
      </rPr>
      <t>REFERENTE</t>
    </r>
  </si>
  <si>
    <t>OLIMPIADI DEGLI SCACCHI - OVAL</t>
  </si>
  <si>
    <t>20,00 - 01,30</t>
  </si>
  <si>
    <t>13,00 - 20,00</t>
  </si>
  <si>
    <t>18,30 - 01,00</t>
  </si>
  <si>
    <t>NPC</t>
  </si>
  <si>
    <t>20,00 - 0,15</t>
  </si>
  <si>
    <t>13,00 - 20,15</t>
  </si>
  <si>
    <t>OLIMPIADI DEGLI SCACCHI - VILLAGGIO OLIMPICO</t>
  </si>
  <si>
    <t>8,00 - 14,00</t>
  </si>
  <si>
    <t>20,00 - 01,00</t>
  </si>
  <si>
    <t>STAND MILITARIA in piazza Statuto</t>
  </si>
  <si>
    <t>14,45 - 20,30</t>
  </si>
  <si>
    <t>20,00 - 00,15</t>
  </si>
  <si>
    <t>FESTA DELL'ARMA - CELEBRAZIONE NEL CORTILE DELLA CERNAIA</t>
  </si>
  <si>
    <t>16,30 - 20,00</t>
  </si>
  <si>
    <t>8,00 - 15,30</t>
  </si>
  <si>
    <t>8,00 - 13,30</t>
  </si>
  <si>
    <t>17,30 - 0,30</t>
  </si>
  <si>
    <t>PARCO DEL VALENTINO - Festa della Pro Loco</t>
  </si>
  <si>
    <t>15,00 - 18,00</t>
  </si>
  <si>
    <t>MONTE DEI CAPPUCCINI - Vigilanza e viabilità per i fuochi d'artificio</t>
  </si>
  <si>
    <t>18,00 - 0,30</t>
  </si>
  <si>
    <t>PECETTO ( TO ) - Gara ciclistica all'interno del paese</t>
  </si>
  <si>
    <t>18,30 - 0,30</t>
  </si>
  <si>
    <t>EUROVESPA2000 Raduno per 60 anni della VESPA - Piazza Castello</t>
  </si>
  <si>
    <t>ASTI - Il PALIO</t>
  </si>
  <si>
    <t>11,30 - 01,00</t>
  </si>
  <si>
    <t>COLLEGNO ( TO ) - Giornata all' AEROCLUB di c.so MARCHE</t>
  </si>
  <si>
    <t xml:space="preserve"> </t>
  </si>
  <si>
    <t>MONDIALI DI SCHERMA - Vigilanza Villaggio Olimpico</t>
  </si>
  <si>
    <t>19,00 - 00,30</t>
  </si>
  <si>
    <t>COLLEGNO ( TO )-Giornata all' AEROCLUB c.so MARCHE - Esercitazione</t>
  </si>
  <si>
    <t>7,00 - 15,00</t>
  </si>
  <si>
    <t>9,30 - 18,00</t>
  </si>
  <si>
    <t>VIA GARIBALDI - Manifestazione della pro-loco di Torino</t>
  </si>
  <si>
    <t>14,30 - 18,30</t>
  </si>
  <si>
    <t>14,30-18,30</t>
  </si>
  <si>
    <t>CHIESA DI SAN LORENZO - Messa di Natale per volontari Protezione Civile</t>
  </si>
  <si>
    <t>9,30 - 11,00</t>
  </si>
  <si>
    <t>SERVIZI DI VOLONTARIATO ANC ANNO 2007</t>
  </si>
  <si>
    <t>PELLERINA - CORSA IN BICI DEI BAMBINI DA P:ZZA CASTELLO</t>
  </si>
  <si>
    <t>14,30 - 17,30</t>
  </si>
  <si>
    <t>LINGOTTO FIERE - AUTOMORETRO' STAND CARABINIERI</t>
  </si>
  <si>
    <t>13,30 - 20,00</t>
  </si>
  <si>
    <t>14,30 - 18,00</t>
  </si>
  <si>
    <t>15,45 - 19,00</t>
  </si>
  <si>
    <t>FESTA SAN GIOVANNI - CORTEO STORICO E FALO' IN P.ZZA CASTELLO</t>
  </si>
  <si>
    <t>16,30 - 23,30</t>
  </si>
  <si>
    <t>FESTA SAN GIOVANNI - VIABILITA' PER I FUOCHI - GOBETTI / CASALE</t>
  </si>
  <si>
    <t>TUTA</t>
  </si>
  <si>
    <t>PIAZZA SAN CARLO - FESTA PER 1 ANNO DELLA NUOVA STAMPA</t>
  </si>
  <si>
    <t>14,00 - 19,30</t>
  </si>
  <si>
    <t>FESTA SAN GIOVANNI - VIABILITA' PER I FUOCHI - LUNGO PO CADORNA</t>
  </si>
  <si>
    <t>18,30 - 1,30</t>
  </si>
  <si>
    <t>MILITARIA - P.zza STATUTO ang.V.GARIBALDI e P.zza CASTELLO</t>
  </si>
  <si>
    <t>GOLOSARIA - PIAZZA DEI MESTIERI - VIA DURANDI 13</t>
  </si>
  <si>
    <t>14,30 - 20,00</t>
  </si>
  <si>
    <t>Corsa TORINO - STUPINIGI TUTTA DRITTA</t>
  </si>
  <si>
    <t>8,30 - 12,30</t>
  </si>
  <si>
    <t>SERVIZI DI VOLONTARIATO ANC ANNO 2009</t>
  </si>
  <si>
    <t>SERVIZI DI VOLONTARIATO ANC ANNO 2008</t>
  </si>
  <si>
    <t>CONCERTO DEI NOMADI a Giaveno  ( TO )</t>
  </si>
  <si>
    <t>18,00 - 04,00</t>
  </si>
  <si>
    <t>SERVIZIO CIMITERI ( CIMITERO TORINO NORD MONUMENTALE )</t>
  </si>
  <si>
    <t>8.00 - 13.15</t>
  </si>
  <si>
    <t>8.00 - 13.50</t>
  </si>
  <si>
    <t>14,00 - 18,15</t>
  </si>
  <si>
    <t>Viabilità e controllo interno ai Mondiali pattinaggio artistico al Palavela</t>
  </si>
  <si>
    <t>06.30 - 13.30</t>
  </si>
  <si>
    <t>SERVIZI DI VOLONTARIATO ANC ANNO 2010</t>
  </si>
  <si>
    <t>09,00 - 20,30</t>
  </si>
  <si>
    <t>MARIA AUSILIATRICE - Assistenza e vigilanza sui Pellegrini per la Sindone</t>
  </si>
  <si>
    <t>12,00 - 18,30</t>
  </si>
  <si>
    <t>CAPOTURNO</t>
  </si>
  <si>
    <t>MARIA AUSILIATRICE - Vigilanza su Pellegrinaggio Militare per la Sindone</t>
  </si>
  <si>
    <t>09,00 - 15,00</t>
  </si>
  <si>
    <t>LINGOTTO FIERE - Vigilanza votazioninuovo consiglio FISI - sport invernali</t>
  </si>
  <si>
    <t>10,00 - 20,00</t>
  </si>
  <si>
    <t>PIAZZA VITTORIO, VIA ROMA - Viabilità per concerto Primo Maggio</t>
  </si>
  <si>
    <t>07,00 - 16,00</t>
  </si>
  <si>
    <t>VIA ARIVESCOVADO - VISITA DEL PAPA A TORINO PER LA SINDONE</t>
  </si>
  <si>
    <t>06,00 - 20,00</t>
  </si>
  <si>
    <t>ASTI - Servizio ai fuochi d'artificio per festa patronale di San Secondo</t>
  </si>
  <si>
    <t>12,00 - 15,30</t>
  </si>
  <si>
    <t>MONCALIERI - CHIERI - Prelievo e consegna barca con defender</t>
  </si>
  <si>
    <t>15,30 - 20,30</t>
  </si>
  <si>
    <t>MARIA AUSILIATRICE - Processione per la festa di Maria Ausiliatrice</t>
  </si>
  <si>
    <t>18,00 - 0,00</t>
  </si>
  <si>
    <t>CASERMA CERNAIA - Prove per inquadramento per la festa dell'arma</t>
  </si>
  <si>
    <t>8,00 - 12,00</t>
  </si>
  <si>
    <t>CASERMA CERNAIA - Inquadramento per la festa dell'arma</t>
  </si>
  <si>
    <t>SANTENA - Viabilità per visita del Presidente della Repubblica Napolitano</t>
  </si>
  <si>
    <t>7,30 - 13,00</t>
  </si>
  <si>
    <t>GIAVENO - Notte Bianca</t>
  </si>
  <si>
    <t>18,00 - 02,30</t>
  </si>
  <si>
    <t>CONSOLATA - Processione per festa Consolata</t>
  </si>
  <si>
    <t>FESTA DI SANGIOVANNI - Farò - Viabilità Piazza Castello angolo Via Po</t>
  </si>
  <si>
    <t>FESTA DI SANGIOVANNI - Fuochi - Viabilità Corso Cairoli angolo Via Giolitti</t>
  </si>
  <si>
    <t>CASTELLO DI RACCONIGI - Vigilanza mostra scultura internazionale</t>
  </si>
  <si>
    <t>08,30 - 21,30</t>
  </si>
  <si>
    <t>08,30 - 20,30</t>
  </si>
  <si>
    <t>CASTELLO DI MONCALIERI _ BATTAGLIONE - Scarico tende caricate ad AL</t>
  </si>
  <si>
    <t>8,00 - 17,00</t>
  </si>
  <si>
    <t>SPINETTA MARENGO (AL) - Recupero tende assegnate da Dipartimento P.C.</t>
  </si>
  <si>
    <t>13,30 - 19,00</t>
  </si>
  <si>
    <t>GIAVENO - Fuochi per San Lorenzo</t>
  </si>
  <si>
    <t>19,30 - 01,00</t>
  </si>
  <si>
    <t>08,30 - 14,45</t>
  </si>
  <si>
    <t>PINASCA per riprogrammazione radio</t>
  </si>
  <si>
    <t>08,00 - 14,00</t>
  </si>
  <si>
    <t>14,00 - 23,30</t>
  </si>
  <si>
    <t xml:space="preserve">CENTALLO per raduno cinofili, consegna radio e montaggio tende </t>
  </si>
  <si>
    <t xml:space="preserve">CASTELLO DI MONCALIERI _ BATTAGLIONE - Scarico tende </t>
  </si>
  <si>
    <t>14,00 - 15,45</t>
  </si>
  <si>
    <t>11,00 - 12,00</t>
  </si>
  <si>
    <t xml:space="preserve">CIMITERO MONUMENTALE - Foto ricordo con membri ANC gruppo di fatto </t>
  </si>
  <si>
    <t>15,15 - 17,15</t>
  </si>
  <si>
    <t xml:space="preserve">TORINO - Porto il DEFENDER a far equilibrare le gomme </t>
  </si>
  <si>
    <t>TORINO - Porto la PANDA a sostiruire le gomme da estive a invernali</t>
  </si>
  <si>
    <t>14,30 - 16,30</t>
  </si>
  <si>
    <t>CIMITERO MONUMENTALE DI TORINO - Vigilanza affluenza cimiteri</t>
  </si>
  <si>
    <t>08,00 - 18,00</t>
  </si>
  <si>
    <t>TORINO - TURIN MARATHON in c.so Matteotti / c. so Re Umberto</t>
  </si>
  <si>
    <t>07,15 - 16,30</t>
  </si>
  <si>
    <t>TORINO - TEATRO REGIO - GOLOSARIA 2010</t>
  </si>
  <si>
    <t>SERVIZI DI VOLONTARIATO ANC ANNO 2011</t>
  </si>
  <si>
    <t>PALAVELA - TROFEO DELLE REGIONI DI PATTINAGGIO SUL GHIACCIO</t>
  </si>
  <si>
    <t>08,00 - 22,30</t>
  </si>
  <si>
    <t>08,00 - 12,00</t>
  </si>
  <si>
    <t>TORINO - Porto la PANDA a sostiruire le gomme da invernali a estive</t>
  </si>
  <si>
    <t>14,30 - 16,00</t>
  </si>
  <si>
    <t>TORINO - Prima tappa del Giro d'Italia-crono a squadre Venaria-Torino</t>
  </si>
  <si>
    <t>09,30 - 21,00</t>
  </si>
  <si>
    <t>TORINO - Raduno Alpini</t>
  </si>
  <si>
    <t>13,00 - 21,30</t>
  </si>
  <si>
    <t xml:space="preserve">MARIA AUSILIATRICE - Vigilanza veglia di preghiera </t>
  </si>
  <si>
    <t>19,00 - 01,15</t>
  </si>
  <si>
    <t>GILE'</t>
  </si>
  <si>
    <t>18,30 - 00,00</t>
  </si>
  <si>
    <t>10,30 - 15,00</t>
  </si>
  <si>
    <t>TORINO - Passaggio del Giro d'Italia in strada San Mauro - Viabilità</t>
  </si>
  <si>
    <t>CASERMA CERNAIA - Inquadramento per la festa dell'arma - Aut.DEFENDER</t>
  </si>
  <si>
    <t>08,00 - 12,30</t>
  </si>
  <si>
    <t>PINEROLO - Trasporto persone a Pinerolo per servizio Pra Catinat con DEF.</t>
  </si>
  <si>
    <t>08,10 - 12,30</t>
  </si>
  <si>
    <t>PRA CATINAT - Trasporto persone per servizio assistenza con DEFENDER</t>
  </si>
  <si>
    <t>15,30 - 20,45</t>
  </si>
  <si>
    <t>TORINO - Montaggio ponte radio e centrale in Provincia e Cernaia</t>
  </si>
  <si>
    <t>19,00 - 00,00</t>
  </si>
  <si>
    <t>DRUENTO - Ritiro tende gonfiabili presso deposito Regione Piemonte</t>
  </si>
  <si>
    <t>09,30- 12,00</t>
  </si>
  <si>
    <t>09,15 - 13,40</t>
  </si>
  <si>
    <t>FIAT MIRAFIORI - Ritiro veicoli messi a disposizione da Fiat per raduno ANC</t>
  </si>
  <si>
    <t>13,45 - 17,00</t>
  </si>
  <si>
    <t>GILE</t>
  </si>
  <si>
    <t>17,00 - 00,00</t>
  </si>
  <si>
    <t>FESTA DI SANGIOVANNI - Farò in piazza Castello</t>
  </si>
  <si>
    <t>DRUENTO - Montaggio tende mediche al centro il cavallo x carosello CC</t>
  </si>
  <si>
    <t>TORINO - Concerto fanfara arma carabinieri in piazza San Carlo</t>
  </si>
  <si>
    <t>14,00 - 18,45</t>
  </si>
  <si>
    <t>07,30 - 08,30</t>
  </si>
  <si>
    <t>TORINO - Deposizione corona ai caduti alla Gran Madre</t>
  </si>
  <si>
    <t>TORINO - Deposizione corona ai caduti al Monumento al Carabiniere</t>
  </si>
  <si>
    <t>08,30 - 10,00</t>
  </si>
  <si>
    <t>TORINO - Chiesa Maria Ausiliatrice - Messa per Carabinieri</t>
  </si>
  <si>
    <t>10,00 - 13,30</t>
  </si>
  <si>
    <t xml:space="preserve">DRUENTO - Carosello Carabinieri a cavallo e smontaggio tende </t>
  </si>
  <si>
    <t>13,30 - 00,00</t>
  </si>
  <si>
    <t>06,00 - 14,00</t>
  </si>
  <si>
    <t>TORINO - Raduno Associazione Nazionale Carabinieri - postazione p.S.Carlo</t>
  </si>
  <si>
    <t>PINEROLO - Consegna pick-up e ritiro panda di Pinerolo</t>
  </si>
  <si>
    <t>08,00 - 11,40</t>
  </si>
  <si>
    <t>08,05 - 14,00</t>
  </si>
  <si>
    <t xml:space="preserve">TORINO - Smontaggio ponte radio sul palazzo della Provincia </t>
  </si>
  <si>
    <t>10,00 - 11,15</t>
  </si>
  <si>
    <t>11,15 - 13,00</t>
  </si>
  <si>
    <t>TORINO - Caserma Cernaia per saluto di commiato del generale Giuliani</t>
  </si>
  <si>
    <t>G&amp;C</t>
  </si>
  <si>
    <t>TORINO - Caserma Bergia per part gen Giuliani e arrivo nuovo gen La Vacca</t>
  </si>
  <si>
    <t>09,30 - 12,30</t>
  </si>
  <si>
    <t>RIVOLI - Ritiro Punto EVO con livrea ANC e consegna rimorchio con Maurizio</t>
  </si>
  <si>
    <t>10,30 - 12,30</t>
  </si>
  <si>
    <t>RIVOLI - Ritiro Panda con livrea ANC e ritiro rimorchio con Maurizio</t>
  </si>
  <si>
    <t>08,30 - 12,30</t>
  </si>
  <si>
    <t>TORINO - Ufficio Operativo per EMERGENZA SATELLITE. Pronto intervento</t>
  </si>
  <si>
    <t>19,30 - 22,30</t>
  </si>
  <si>
    <t>07,30 - 14,00</t>
  </si>
  <si>
    <t>14,00 - 19,15</t>
  </si>
  <si>
    <t>TUTA C.S.</t>
  </si>
  <si>
    <t>ORARIO</t>
  </si>
  <si>
    <t>SAN CARLO CANAVESE - Vigilanza e controllo brillamento ordigno esplosivo</t>
  </si>
  <si>
    <t>06,00 - 15,30</t>
  </si>
  <si>
    <t>TORINO - GOLOSARIA in via Durandi</t>
  </si>
  <si>
    <t>10,00 - 14,00</t>
  </si>
  <si>
    <t>14,00 - 18,30</t>
  </si>
  <si>
    <t>SERVIZI DI VOLONTARIATO ANC ANNO 2012</t>
  </si>
  <si>
    <t>14,45 - 16,30</t>
  </si>
  <si>
    <t>TORINO PARCO PELLERINA - EMERGENZA FREDDO SENZATETTO</t>
  </si>
  <si>
    <t>01,15 - 09,00</t>
  </si>
  <si>
    <t>13,30 - 17,00</t>
  </si>
  <si>
    <t>TORINO - Pieno a DEFENDER, PANDA e PUNTO x partenza centro italia</t>
  </si>
  <si>
    <t>17,00 - 18,50</t>
  </si>
  <si>
    <t xml:space="preserve">CASTELLO DI MONCALIERI _ BATTAGLIONE - Prelievo 2 tende FERRINO </t>
  </si>
  <si>
    <t>14,15 - 16,45</t>
  </si>
  <si>
    <t>BRIEFING CORSO QUADRI SEDE UNUCI</t>
  </si>
  <si>
    <t>19,30 - 21,30</t>
  </si>
  <si>
    <t>SETTIMO - PROVA PRATICA SOCC AVANZATO E TOPOGRAFIA X QUADRI</t>
  </si>
  <si>
    <t>06,15 - 17,45</t>
  </si>
  <si>
    <t>07,15 - 12,00</t>
  </si>
  <si>
    <t>06,30 - 16,00</t>
  </si>
  <si>
    <t>SETTIMO - PROVA FINALE QUADRI</t>
  </si>
  <si>
    <t>TORINO - TUTTADRITTA responsabile settore 1 zona Ospedale Mauriziano</t>
  </si>
  <si>
    <t>TORINO - CORTEO I° MAGGIO</t>
  </si>
  <si>
    <t>07,00 - 14,00</t>
  </si>
  <si>
    <t>TORINO - Porto la PANDA a mettere le gomme normali</t>
  </si>
  <si>
    <t>TORINO - Porto la PANDA a mettere le gomme termiche</t>
  </si>
  <si>
    <t>15,15 - 18,00</t>
  </si>
  <si>
    <t>TORINO - Pulizia magazzino Rafaiani da acqua</t>
  </si>
  <si>
    <t>10,30 - 11,30</t>
  </si>
  <si>
    <t>TORINO - Servizio d'URGENZA di viabilita con VV.UU, x festa juventus</t>
  </si>
  <si>
    <t>15,15 - 01,15</t>
  </si>
  <si>
    <t>TORINO - Tappa giro d'Italia in corso Moncalieri</t>
  </si>
  <si>
    <t>08,30 - 13,30</t>
  </si>
  <si>
    <t>RIVOLI - Servizio assistenza esercitazione protezione civile dei bimbi</t>
  </si>
  <si>
    <t>RIVOLI - Ritiro roulotte con scritte associazione e trasferimento a torino</t>
  </si>
  <si>
    <t>12,30 - 13,30</t>
  </si>
  <si>
    <t>06,20 - 12,30</t>
  </si>
  <si>
    <t xml:space="preserve">TORINO - Consegna roulotte al meccanico per controllo </t>
  </si>
  <si>
    <t>TORINO - Trasferimento roulotte presso cortile Maria Ausiliatrice</t>
  </si>
  <si>
    <t>15,30 - 17,30</t>
  </si>
  <si>
    <t>13,30 - 15,30</t>
  </si>
  <si>
    <t>TORINO - Recupero roulotte da venditore a stampista a RIVOLI</t>
  </si>
  <si>
    <t>TORINO - Recupero roulotte da stampista a meccanico</t>
  </si>
  <si>
    <t>SETTIMO - Campo cinofili per recupero carrello tenda</t>
  </si>
  <si>
    <t>08,30 - 11,30</t>
  </si>
  <si>
    <t>11,30 - 13,45</t>
  </si>
  <si>
    <t>13,45 - 19,30</t>
  </si>
  <si>
    <t>TORINO PALATAZZOLI - Servizio d'ordine per saggio pattinaggio bambini</t>
  </si>
  <si>
    <t>14,30 - 22,30</t>
  </si>
  <si>
    <t>TORINO - Caserma Cernaia - Prove per la festa dell'Arma del 5 giugno</t>
  </si>
  <si>
    <t>14,00 - 02,30</t>
  </si>
  <si>
    <t>SAN GILLIO - Esercitaizone dei cinofili  - personale anc in appoggio</t>
  </si>
  <si>
    <t>08,30 - 17,30</t>
  </si>
  <si>
    <t>SAN GIACOMO RONCOLE (MO)-Trasferimento materiale x i terremotati</t>
  </si>
  <si>
    <t>TORINO - Caserma Cernaia -  198° ANNIVERSARIO ARMA CARABINIERI</t>
  </si>
  <si>
    <t>07,30 - 13,30</t>
  </si>
  <si>
    <t>PIANEZZA - Giornata di incontro del Provinciale di Torino</t>
  </si>
  <si>
    <t>08,30 - 17,50</t>
  </si>
  <si>
    <t>LANZO TORINESE - Esercitazione con cinofili in una scuola di Lanzo</t>
  </si>
  <si>
    <t>TORINO - Sfilata GRUPPI STORICI e FARO' in p.zza Castello</t>
  </si>
  <si>
    <t>15,45 - 23,00</t>
  </si>
  <si>
    <t>ROVERETO SUL SECCHIA (MO) Vigilanza per visita del PAPA</t>
  </si>
  <si>
    <t>SAN MARINO DI CARPI (MO) Vigilanza al campo di atterraggio per il PAPA</t>
  </si>
  <si>
    <t>14,00 - 00,00</t>
  </si>
  <si>
    <t>00,00 - 21,30</t>
  </si>
  <si>
    <t>TORINO - Sede via Valfrè per saluto del Gen.SCHIROSI per emergenza freddo</t>
  </si>
  <si>
    <t>17,30 - 19,30</t>
  </si>
  <si>
    <t>20,15 - 22,30</t>
  </si>
  <si>
    <t>TORINO - P.zza Carlo Felice per blocco accesso a via Roma x festeggiamenti</t>
  </si>
  <si>
    <t>22,30 - 01,00</t>
  </si>
  <si>
    <t>TORINO - Con DEFENDER e colonna a ritirare mezzi BREMACK da deposito</t>
  </si>
  <si>
    <t>TORINO - Servizio d'URGENZA di viabilita con VV.UU, x festa TORO</t>
  </si>
  <si>
    <t>TORINO - Corso Cairoli per partita ITALIA - GERMANIA</t>
  </si>
  <si>
    <t>13,15 - 19,00</t>
  </si>
  <si>
    <t>15,30 - 21,30</t>
  </si>
  <si>
    <t>RIVALBA - Festa patronale</t>
  </si>
  <si>
    <t>TORINO - Superga - Esibizione Brigata Alpina Taurinense</t>
  </si>
  <si>
    <t>San Giacomo Roncole ( MO ) - Missione Emilia campo terremotati Mirandola</t>
  </si>
  <si>
    <t>08,00 - 24,00</t>
  </si>
  <si>
    <t>08,00 - 20,00</t>
  </si>
  <si>
    <t>MONCALIERI - Compagnia carabinieri per ritiro Bremack</t>
  </si>
  <si>
    <t>13,30 - 16,00</t>
  </si>
  <si>
    <t>CAVORETTO - Servizio di rappresentanza per 30 anni ANA locale</t>
  </si>
  <si>
    <t>12,30 - 19,00</t>
  </si>
  <si>
    <t>TORINO CIMITERO PARCO - Vigilanza interna</t>
  </si>
  <si>
    <t>PIANEZZA (TO) -Manifestazione amici 4 zampe con cinofili</t>
  </si>
  <si>
    <t>08,30 - 13,00</t>
  </si>
  <si>
    <t>08,30 - 18,30</t>
  </si>
  <si>
    <t>08,30 - 14,00</t>
  </si>
  <si>
    <t>14,00 - 17,00</t>
  </si>
  <si>
    <t>08,15 - 14,15</t>
  </si>
  <si>
    <t>SETTIMO (TO) - Montaggio 2 gazebo al campo cinofili</t>
  </si>
  <si>
    <t>TORINO LINGOTTTO FIERE . Trasferimento DEFENDER per fiera PROTEC</t>
  </si>
  <si>
    <t>08,00 - 13,00</t>
  </si>
  <si>
    <t>TORINO - Apro il cancello dell'ufficio operatico per iniziare sevizio a Leinì</t>
  </si>
  <si>
    <t>13,30 - 14,00</t>
  </si>
  <si>
    <t>TORINO - Lezione su t.u. 81 e esame finale per tutti i quadri</t>
  </si>
  <si>
    <t>08,30 - 18,00</t>
  </si>
  <si>
    <t>SERVIZI DI VOLONTARIATO ANC ANNO 2013</t>
  </si>
  <si>
    <t>TORINO - TUTTADRITTA</t>
  </si>
  <si>
    <t>TORINO - Piazza Castello 125 anniversario fondazione sezione di Torino ANC</t>
  </si>
  <si>
    <t>17,00 - 23,45</t>
  </si>
  <si>
    <t>TORINO - Piazza Vittorio - Corteo primo maggio</t>
  </si>
  <si>
    <t>07,30 - 13,00</t>
  </si>
  <si>
    <t>BARDONECCHIA - Tappa Giro d' Italia</t>
  </si>
  <si>
    <t>07,30 - 20,00</t>
  </si>
  <si>
    <t>18,00 - 00,00</t>
  </si>
  <si>
    <t>VILLASTELLONE - Esame per corso autisti dai fuoristradisti</t>
  </si>
  <si>
    <t>08,00 - 17,45</t>
  </si>
  <si>
    <t>TORINO - Porto DEFENDER e BREMACH a lavare per festa Arma</t>
  </si>
  <si>
    <t>08,30 - 10,30</t>
  </si>
  <si>
    <t>TORINO - Caserma Cernaia -  199° ANNIVERSARIO ARMA CARABINIERI</t>
  </si>
  <si>
    <t>TORINO - RICERCA PERSONA SCOMPARSA ZONA CORSO BELGIO</t>
  </si>
  <si>
    <t>17,30 - 22,30</t>
  </si>
  <si>
    <t>SUPERGA - servizio d'ordine concerto jazz</t>
  </si>
  <si>
    <t>TORINO - Farò in piazza Castello</t>
  </si>
  <si>
    <t>16,15 - 20,45</t>
  </si>
  <si>
    <t>20,45 - 23,30</t>
  </si>
  <si>
    <t>TORINO - WMG TORINO 2013</t>
  </si>
  <si>
    <t>16,45 - 22,30</t>
  </si>
  <si>
    <t>14,00 - 20,00</t>
  </si>
  <si>
    <t>15,45 - 19,15</t>
  </si>
  <si>
    <t>15,45 - 20,15</t>
  </si>
  <si>
    <t>06,50 - 15,15</t>
  </si>
  <si>
    <t>06,50 - 12,50</t>
  </si>
  <si>
    <t>06,50 - 12,30</t>
  </si>
  <si>
    <t>17,00 - 23,00</t>
  </si>
  <si>
    <t>VILLAR DORA (TO) - Riunione con CRI per ESERCITAZIONE VALLE TESSO</t>
  </si>
  <si>
    <t>19,30 - 00,45</t>
  </si>
  <si>
    <t>RIVOLI per prelievo tende e gazebo - MONAST.DI LANZO per montaggio</t>
  </si>
  <si>
    <t>07,30 - 18,15</t>
  </si>
  <si>
    <t>TORINO - Sede Prot Civile per riunione formazione servizi cimiteriali</t>
  </si>
  <si>
    <t>06,15 - 08,30</t>
  </si>
  <si>
    <t>FIANO- Accompagnamento anc gruppo di fatto per Europei di Golf</t>
  </si>
  <si>
    <t>14,45 - 18,45</t>
  </si>
  <si>
    <t>RIVOLI - Inaugurazione ufficiale sede della sezione ANC di RIVOLI</t>
  </si>
  <si>
    <t>SAN MAURO - Inaugurazione ufficiale sede sezione ANC di SAN MAURO</t>
  </si>
  <si>
    <t>14,45 - 19,00</t>
  </si>
  <si>
    <t>14,30 - 19,00</t>
  </si>
  <si>
    <t>TORINO CIMITERO MINUMENTALE - Vigilanza interna</t>
  </si>
  <si>
    <t>13,00 - 18,30</t>
  </si>
  <si>
    <t>08,00 - 13,30</t>
  </si>
  <si>
    <t>PESSIONE(TO) Servizio di controllo a funerale conoscente Roberto Zocchi</t>
  </si>
  <si>
    <t>VERRUA SAVOIA(TO) - Istruttore nel corso fuoristrada su DEFENDER</t>
  </si>
  <si>
    <t>08,00 - 15,45</t>
  </si>
  <si>
    <t>SERVIZI DI VOLONTARIATO ANC ANNO 2014</t>
  </si>
  <si>
    <t>Incontro informativo con Roberto MASSARI in ufficio</t>
  </si>
  <si>
    <t>10,00 - 12,00</t>
  </si>
  <si>
    <t>15,30 - 21,00</t>
  </si>
  <si>
    <t>Riunione per presentazione gruppo GSSA in ufficio</t>
  </si>
  <si>
    <t>Rappresentanza Cimitero Monumentale per ricorrenza 25 aprile</t>
  </si>
  <si>
    <t>Piazza San Carlo - Presidio e assistenza</t>
  </si>
  <si>
    <t>14,30 - 19,30</t>
  </si>
  <si>
    <t>Torino - Campionato nazionale ginnastica artistica al Palaruffini</t>
  </si>
  <si>
    <t>08,30 - 19,30</t>
  </si>
  <si>
    <t>MARIA AUSILIATRICE - Assistenza pellegrini per la festa di Maria Ausiliatrice</t>
  </si>
  <si>
    <t>Torino - Caserma Cernaia - Inquadramento per festa dei 200 anni dell'Arma</t>
  </si>
  <si>
    <t>07,30 - 12,00</t>
  </si>
  <si>
    <t>16,45 - 23,30</t>
  </si>
  <si>
    <t>TORINO - Concerto fanfara dell'Arma in piazza San Carlo per i 200 anni</t>
  </si>
  <si>
    <t>16,00 - 21,00</t>
  </si>
  <si>
    <t xml:space="preserve">TORINO - Cerimonia Monumento,Provincia di Torino e Carosello storico </t>
  </si>
  <si>
    <t>06,30 - 00,00</t>
  </si>
  <si>
    <t>SCIOLZE- Fiera della zucca corsa podistica</t>
  </si>
  <si>
    <t>Preallarme per partenza in Liguria per alluvione</t>
  </si>
  <si>
    <t>15,00 - 22,30</t>
  </si>
  <si>
    <t>Cassano Spinola (Al ) - Assistenza per alluvione</t>
  </si>
  <si>
    <t>06,00 - 23,30</t>
  </si>
  <si>
    <t>TORINO - Smotaggio facoltà ECONOMIA e COMMERCIO in piazza Arbarello</t>
  </si>
  <si>
    <t>09,00 - 12,30</t>
  </si>
  <si>
    <t>TORINO - Servizio Cimiteriale al Monumentale</t>
  </si>
  <si>
    <t>13,00 - 18,00</t>
  </si>
  <si>
    <t>09,00 - 13,30</t>
  </si>
  <si>
    <t>TORINO - FESTA DEGLI AUGURI al circolo ufficiali in corso Vinzaglio</t>
  </si>
  <si>
    <t>Urna di Don Bosco nella chiesa di San Salvario</t>
  </si>
  <si>
    <t>SERVIZI DI VOLONTARIATO ANC ANNO 2015</t>
  </si>
  <si>
    <t>Esercitazione ospedale Mauriziano</t>
  </si>
  <si>
    <t>Venaria - Veglia del Carabiniere</t>
  </si>
  <si>
    <t>18,30 - 01,30</t>
  </si>
  <si>
    <t>Torino - Mezza maratona zona centro SOLFERINO/SANTA CHIARA</t>
  </si>
  <si>
    <t>Torino - Piazza san Carlo per servizio di rappresentanza</t>
  </si>
  <si>
    <t>Torino - Via Crucis da Consolata a Maria Ausiliatrice SALERNO/MARIA AUS.</t>
  </si>
  <si>
    <t>Torino - Vivicittà - SAN MAURIZIO / BAVA</t>
  </si>
  <si>
    <t>Torino - Notte bianca della preghiera per la SINDONE</t>
  </si>
  <si>
    <t>00,30 - 08,00</t>
  </si>
  <si>
    <t>Torino - Assistenza pellegrini SINDONE - Viale Partigiani</t>
  </si>
  <si>
    <t>Torino - Vigilanza gazebo ANC e Regione Piemonte in piazza Castello</t>
  </si>
  <si>
    <t>00,00 - 08,00</t>
  </si>
  <si>
    <t>Torino - Partita del cuore allo Juventus Stadium</t>
  </si>
  <si>
    <t>18,00 - 01,00</t>
  </si>
  <si>
    <t>Torino - Caserma Cernaia Festa dell'Arma dei Carabinieri</t>
  </si>
  <si>
    <t>07,30 - 12,30</t>
  </si>
  <si>
    <t>Torino - Processione Consolata - Incrocio Duomo/XX settembre</t>
  </si>
  <si>
    <t>18,00 - 22,30</t>
  </si>
  <si>
    <t>Torino - IL PAPA A TORINO</t>
  </si>
  <si>
    <t>07,00 - 18,00</t>
  </si>
  <si>
    <t>Torino - Funerali di Don Aldo Rabino a Maria Ausiliatrice</t>
  </si>
  <si>
    <t>Torino - Campionati Europei di Pallavolo maschile al Palavela</t>
  </si>
  <si>
    <t>SERVIZI DI VOLONTARIATO ANC ANNO 2016</t>
  </si>
  <si>
    <t>LA THUILLE - Campionato mondiale di sci femminile</t>
  </si>
  <si>
    <t>05,30 - 21,00</t>
  </si>
  <si>
    <t>TORINO - Palaruffini per vigilanza al concorso per infermieri ASL TO3</t>
  </si>
  <si>
    <t>09,00 - 15,15</t>
  </si>
  <si>
    <t>TORINO - Giornata contro l'autismo alla mole antonelliana</t>
  </si>
  <si>
    <t>TORINO - VIVICITTA'</t>
  </si>
  <si>
    <t>09,00 - 12,00</t>
  </si>
  <si>
    <t>COLLEGNO - Palacollegno per vigilanza al concorso per infermieri ASL TO3</t>
  </si>
  <si>
    <t>TORINO - Palaruffini per vigilanza festa O.A.S.I.</t>
  </si>
  <si>
    <t>TORINO - Corteo del Primo Maggio</t>
  </si>
  <si>
    <t>CHIERI - Corsa MOUNTAIN BIKE</t>
  </si>
  <si>
    <t>RIVOLI - MEDICAL DAY LIONS - Giornata di visite mediche gratuite</t>
  </si>
  <si>
    <t>13,00 - 19,00</t>
  </si>
  <si>
    <t>TORINO - CHIVASSO - Trasferimento Ducato da Chivasso a Torino</t>
  </si>
  <si>
    <t>14,00 - 16,00</t>
  </si>
  <si>
    <t>ASTI - Adunata Alpini</t>
  </si>
  <si>
    <t>22,00 - 03,00</t>
  </si>
  <si>
    <t>06,00 - 23,15</t>
  </si>
  <si>
    <t>PINEROLO - Esercitazione Magnitudo 5,5</t>
  </si>
  <si>
    <t>14,00 - 23,00</t>
  </si>
  <si>
    <t>IVREA - Coppa del mondo di canoa</t>
  </si>
  <si>
    <t>14,30 - 01,00</t>
  </si>
  <si>
    <t>09,00 - 20,00</t>
  </si>
  <si>
    <t>MILANO - Raduno nazionale ANC</t>
  </si>
  <si>
    <t>05,15 - 17,15</t>
  </si>
  <si>
    <t>TORINO - Processione della Consolata</t>
  </si>
  <si>
    <t>TORINO - Festa San Giovanni - IL FARO'</t>
  </si>
  <si>
    <t>TORINO - Festa per i 100 anni dell'aeroporto di Torino al campo volo</t>
  </si>
  <si>
    <t>TORINO - PARCO DEL VALENTINO - BIKE PRIDE</t>
  </si>
  <si>
    <t>17,30 - 20,00</t>
  </si>
  <si>
    <t xml:space="preserve">TORINO - Traslazione spoglie di Piergiorgio Frassati dal duomo </t>
  </si>
  <si>
    <t>18,30 - 21,30</t>
  </si>
  <si>
    <t>TORINO - Corso per utilizzo programma accessi della regione</t>
  </si>
  <si>
    <t>09,00 - 13,00</t>
  </si>
  <si>
    <t xml:space="preserve">TORINO - Vigilanza ai Pellegrini della giornata mondilale di Cracovia </t>
  </si>
  <si>
    <t>19,30 - 00,00</t>
  </si>
  <si>
    <t>SETTIMO - Campo macerie per presenza al servizio stampa su unità cinofila</t>
  </si>
  <si>
    <t>08,00 - 11,30</t>
  </si>
  <si>
    <t>SUPERGA - Commemorazione 310 anni dall'assedio di Torino</t>
  </si>
  <si>
    <t>TORINO - Presidio in Piazza San Carlo per TERRA MADRE SALONE GUSTO</t>
  </si>
  <si>
    <t>TN</t>
  </si>
  <si>
    <t>SERVIZI DI VOLONTARIATO ANC ANNO 2017</t>
  </si>
  <si>
    <t>TORINO - LA MEZZA MARATONA</t>
  </si>
  <si>
    <t>07,00 - 17,30</t>
  </si>
  <si>
    <t>17,30 - 01,00</t>
  </si>
  <si>
    <t>TORINO</t>
  </si>
  <si>
    <t>LA MEZZA MARATONA</t>
  </si>
  <si>
    <t>CORSO PER SCORTA COLONNA MOBILE REG.</t>
  </si>
  <si>
    <t>VIVICITTA'</t>
  </si>
  <si>
    <t>GIORNATA DELLA GIOVENTU' CON VESCOVO</t>
  </si>
  <si>
    <t>LOCALITA'</t>
  </si>
  <si>
    <t>SETTIMO T.SE (TO)</t>
  </si>
  <si>
    <t>STUPINIGI (TO)</t>
  </si>
  <si>
    <t>LA THUILLE (AO)</t>
  </si>
  <si>
    <t>COLLEGNO (TO)</t>
  </si>
  <si>
    <t>TORINO-CHIVASSO</t>
  </si>
  <si>
    <t>ASTI</t>
  </si>
  <si>
    <t>PINEROLO (TO)</t>
  </si>
  <si>
    <t>IVREA (TO)</t>
  </si>
  <si>
    <t>CHIERI (TO)</t>
  </si>
  <si>
    <t>RIVOLI (TO)</t>
  </si>
  <si>
    <t>Campionato mondiale di sci femminile</t>
  </si>
  <si>
    <t>Palaruffini per vigilanza al concorso per infermieri ASL TO3</t>
  </si>
  <si>
    <t>Giornata contro l'autismo alla mole antonelliana</t>
  </si>
  <si>
    <t>Palacollegno per vigilanza al concorso per infermieri ASL TO3</t>
  </si>
  <si>
    <t>Palaruffini per vigilanza festa O.A.S.I.</t>
  </si>
  <si>
    <t>Corteo del Primo Maggio</t>
  </si>
  <si>
    <t>Corsa MOUNTAIN BIKE</t>
  </si>
  <si>
    <t>MEDICAL DAY LIONS - Giornata di visite mediche gratuite</t>
  </si>
  <si>
    <t>Trasferimento Ducato da Chivasso a Torino</t>
  </si>
  <si>
    <t>Adunata Alpini</t>
  </si>
  <si>
    <t>Coppa del mondo di canoa</t>
  </si>
  <si>
    <t>Esercitazione Magnitudo 5,5</t>
  </si>
  <si>
    <t>MILANO</t>
  </si>
  <si>
    <t>Raduno nazionale ANC</t>
  </si>
  <si>
    <t>Processione della Consolata</t>
  </si>
  <si>
    <t>Festa San Giovanni - IL FARO'</t>
  </si>
  <si>
    <t>Festa per i 100 anni dell'aeroporto di Torino al campo volo</t>
  </si>
  <si>
    <t>PARCO DEL VALENTINO - BIKE PRIDE</t>
  </si>
  <si>
    <t xml:space="preserve">Traslazione spoglie di Piergiorgio Frassati dal duomo </t>
  </si>
  <si>
    <t>corso per utilizzo programma accessi della regione</t>
  </si>
  <si>
    <t xml:space="preserve">Vigilanza ai Pellegrini della giornata mondilale di Cracovia </t>
  </si>
  <si>
    <t>Campo macerie per presenza al servizio stampa su unità cinofila</t>
  </si>
  <si>
    <t>Commemorazione 310 anni dall'assedio di Torino</t>
  </si>
  <si>
    <t>SUPERGA (TO)</t>
  </si>
  <si>
    <t>Presidio in Piazza S.Carlo per TERRA MADRE SALONE GUSTO</t>
  </si>
  <si>
    <t>VENARIA (TO)</t>
  </si>
  <si>
    <t>Veglia del Carabiniere</t>
  </si>
  <si>
    <t>Mezza maratona zona centro SOLFERINO/SANTA CHIARA</t>
  </si>
  <si>
    <t>Piazza san Carlo per servizio di rappresentanza</t>
  </si>
  <si>
    <t>Via Crucis da Consolata a Maria Ausiliatrice SALERNO/MARIA AUS.</t>
  </si>
  <si>
    <t>Vivicittà - SAN MAURIZIO / BAVA</t>
  </si>
  <si>
    <t>Notte bianca della preghiera per la SINDONE</t>
  </si>
  <si>
    <t>Assistenza pellegrini SINDONE - Viale Partigiani</t>
  </si>
  <si>
    <t>Vigilanza gazebo ANC e Regione Piemonte in piazza Castello</t>
  </si>
  <si>
    <t>Partita del cuore allo Juventus Stadium</t>
  </si>
  <si>
    <t>Caserma Cernaia Festa dell'Arma dei Carabinieri</t>
  </si>
  <si>
    <t>Processione Consolata - Incrocio Duomo/XX settembre</t>
  </si>
  <si>
    <t>IL PAPA A TORINO</t>
  </si>
  <si>
    <t>Funerali di Don Aldo Rabino a Maria Ausiliatrice</t>
  </si>
  <si>
    <t>Campionati Europei di Pallavolo maschile al Palavela</t>
  </si>
  <si>
    <t>Servizio Cimiteriale al Monumentale</t>
  </si>
  <si>
    <t>Campionato nazionale ginnastica artistica al Palaruffini</t>
  </si>
  <si>
    <t>Caserma Cernaia - Inquadramento per festa dei 200 anni dell'Arma</t>
  </si>
  <si>
    <t>Farò in piazza Castello</t>
  </si>
  <si>
    <t>Concerto fanfara dell'Arma in piazza San Carlo per i 200 anni</t>
  </si>
  <si>
    <t xml:space="preserve">Cerimonia Monumento,Provincia di Torino e Carosello storico </t>
  </si>
  <si>
    <t>SCIOLZE (TO)</t>
  </si>
  <si>
    <t>CASSANO SPINOLA (AL)</t>
  </si>
  <si>
    <t>Assistenza per alluvione</t>
  </si>
  <si>
    <t>Fiera della zucca corsa podistica</t>
  </si>
  <si>
    <t>Smotaggio facoltà ECONOMIA e COMMERCIO in piazza Arbarello</t>
  </si>
  <si>
    <t>FESTA DEGLI AUGURI al circolo ufficiali in corso Vinzaglio</t>
  </si>
  <si>
    <t>Assistenza pellegrini per la festa di Maria Ausiliatrice</t>
  </si>
  <si>
    <t>Processione per festa Consolata</t>
  </si>
  <si>
    <t>BARDONECCHIA (TO)</t>
  </si>
  <si>
    <t>VILLASTELLONE (TO)</t>
  </si>
  <si>
    <t>VILLAR DORA (TO)</t>
  </si>
  <si>
    <t>Riunione con CRI per ESERCITAZIONE VALLE TESSO</t>
  </si>
  <si>
    <t>Apro il cancello dell'ufficio operatico per iniziare sevizio a Leinì</t>
  </si>
  <si>
    <t>Lezione su t.u. 81 e esame finale per tutti i quadri</t>
  </si>
  <si>
    <t>TUTTADRITTA</t>
  </si>
  <si>
    <t>Piazza Castello 125 anniversario fondazione sezione di Torino ANC</t>
  </si>
  <si>
    <t>Piazza Vittorio - Corteo primo maggio</t>
  </si>
  <si>
    <t>Tappa Giro d' Italia</t>
  </si>
  <si>
    <t>Esame per corso autisti dai fuoristradisti</t>
  </si>
  <si>
    <t>Porto DEFENDER e BREMACH a lavare per festa Arma</t>
  </si>
  <si>
    <t>Caserma Cernaia -  199° ANNIVERSARIO ARMA CARABINIERI</t>
  </si>
  <si>
    <t>RICERCA PERSONA SCOMPARSA ZONA CORSO BELGIO</t>
  </si>
  <si>
    <t>servizio d'ordine concerto jazz</t>
  </si>
  <si>
    <t>WMG TORINO 2013</t>
  </si>
  <si>
    <t>FIANO (TO)</t>
  </si>
  <si>
    <t>SAN MAURO (TO)</t>
  </si>
  <si>
    <t>PESSIONE(TO)</t>
  </si>
  <si>
    <t>Servizio di controllo a funerale conoscente Roberto Zocchi</t>
  </si>
  <si>
    <t>VERRUA SAVOIA(TO)</t>
  </si>
  <si>
    <t>Istruttore nel corso fuoristrada su DEFENDER</t>
  </si>
  <si>
    <t>MONCALIERI (TO)</t>
  </si>
  <si>
    <t>Porto la PANDA a mettere le gomme termiche</t>
  </si>
  <si>
    <t>PARCO PELLERINA - EMERGENZA FREDDO SENZATETTO</t>
  </si>
  <si>
    <t>Con DEFENDER e colonna a ritirare mezzi BREMACK da deposito</t>
  </si>
  <si>
    <t>Pieno a DEFENDER, PANDA e PUNTO x partenza centro italia</t>
  </si>
  <si>
    <t>PROVA PRATICA SOCC AVANZATO E TOPOGRAFIA X QUADRI</t>
  </si>
  <si>
    <t>PROVA FINALE QUADRI</t>
  </si>
  <si>
    <t>Sfilata GRUPPI STORICI e FARO' in p.zza Castello</t>
  </si>
  <si>
    <t>Caserma Cernaia -  198° ANNIVERSARIO ARMA CARABINIERI</t>
  </si>
  <si>
    <t>SAN GILLIO (TO)</t>
  </si>
  <si>
    <t>SAN GIACOMO RONCOLE (MO)</t>
  </si>
  <si>
    <t>Trasferimento materiale x i terremotati</t>
  </si>
  <si>
    <t>Caserma Cernaia - Prove per la festa dell'Arma del 5 giugno</t>
  </si>
  <si>
    <t>PALATAZZOLI - Servizio d'ordine per saggio pattinaggio bambini</t>
  </si>
  <si>
    <t>Trasferimento roulotte presso cortile Maria Ausiliatrice</t>
  </si>
  <si>
    <t xml:space="preserve">Consegna roulotte al meccanico per controllo </t>
  </si>
  <si>
    <t>Servizio assistenza esercitazione protezione civile dei bimbi</t>
  </si>
  <si>
    <t>Ritiro roulotte con scritte associazione e trasferimento a torino</t>
  </si>
  <si>
    <t>Esercitaizone dei cinofili  - personale anc in appoggio</t>
  </si>
  <si>
    <t>LANZO TORINESE (TO)</t>
  </si>
  <si>
    <t>Esercitazione con cinofili in una scuola di Lanzo</t>
  </si>
  <si>
    <t>TUTTADRITTA responsabile settore 1 zona Ospedale Mauriziano</t>
  </si>
  <si>
    <t>CORTEO I° MAGGIO</t>
  </si>
  <si>
    <t>Porto la PANDA a mettere le gomme normali</t>
  </si>
  <si>
    <t>Pulizia magazzino Rafaiani da acqua</t>
  </si>
  <si>
    <t>Servizio d'URGENZA di viabilita con VV.UU, x festa juventus</t>
  </si>
  <si>
    <t>Tappa giro d'Italia in corso Moncalieri</t>
  </si>
  <si>
    <t>Servizio d'URGENZA di viabilita con VV.UU, x festa TORO</t>
  </si>
  <si>
    <t>Campo cinofili per recupero carrello tenda</t>
  </si>
  <si>
    <t>Recupero roulotte da venditore a stampista a RIVOLI</t>
  </si>
  <si>
    <t>Recupero roulotte da stampista a meccanico</t>
  </si>
  <si>
    <t>PIANEZZA (TO)</t>
  </si>
  <si>
    <t>Giornata di incontro del Provinciale di Torino</t>
  </si>
  <si>
    <t>ROVERETO SUL SECCHIA (MO)</t>
  </si>
  <si>
    <t xml:space="preserve">SAN MARINO DI CARPI (MO) </t>
  </si>
  <si>
    <t>Vigilanza per visita del PAPA</t>
  </si>
  <si>
    <t>Vigilanza al campo di atterraggio per il PAPA</t>
  </si>
  <si>
    <t>RIVALBA (TO)</t>
  </si>
  <si>
    <t>Festa patronale</t>
  </si>
  <si>
    <t>Sede via Valfrè per saluto del Gen.SCHIROSI per emergenza freddo</t>
  </si>
  <si>
    <t>Corso Cairoli per partita ITALIA - GERMANIA</t>
  </si>
  <si>
    <t>P.zza Carlo Felice per blocco accesso a via Roma x festeggiamenti</t>
  </si>
  <si>
    <t>Superga - Esibizione Brigata Alpina Taurinense</t>
  </si>
  <si>
    <t>Missione Emilia campo terremotati Mirandola</t>
  </si>
  <si>
    <t>LINGOTTTO FIERE . Trasferimento DEFENDER per fiera PROTEC</t>
  </si>
  <si>
    <t>SETTIMO (TO</t>
  </si>
  <si>
    <t>Montaggio 2 gazebo al campo cinofili</t>
  </si>
  <si>
    <t>CIMITERO MONUMENTALE - Vigilanza affluenza cimiteri</t>
  </si>
  <si>
    <t>CIMITERO PARCO - Vigilanza interna</t>
  </si>
  <si>
    <t>Manifestazione amici 4 zampe con cinofili</t>
  </si>
  <si>
    <t>CAVORETTO (TO)</t>
  </si>
  <si>
    <t>Servizio di rappresentanza per 30 anni ANA locale</t>
  </si>
  <si>
    <t>Vigilanza interna</t>
  </si>
  <si>
    <t>Compagnia carabinieri per ritiro Bremack</t>
  </si>
  <si>
    <t>CORTEO PRIMO MAGGIO</t>
  </si>
  <si>
    <t>CAMPUS MEDICO LIONS</t>
  </si>
  <si>
    <t>11,30 - 18,30</t>
  </si>
  <si>
    <t>STRATORINO</t>
  </si>
  <si>
    <t>16,30 - 20,30</t>
  </si>
  <si>
    <t>ESERCITAZIONE MAGNITUDO 5.0</t>
  </si>
  <si>
    <t>06,00 - 13,00</t>
  </si>
  <si>
    <t>CONCERTO FANFARA CC AL SANTO VOLTO</t>
  </si>
  <si>
    <t>18,30 - 23,00</t>
  </si>
  <si>
    <t>PROCESSIONE MARIA AUSILIATRICE</t>
  </si>
  <si>
    <t>19,15 - 00,15</t>
  </si>
  <si>
    <t>INAUGURAZIONE STADIO FILADELFIA</t>
  </si>
  <si>
    <t>07,30 - 14,30</t>
  </si>
  <si>
    <t>CORRITORINO</t>
  </si>
  <si>
    <t>LINGOTTO - PRESENTAZIONE LIBRO GOLINI</t>
  </si>
  <si>
    <t>SALONE DELL'AUTO</t>
  </si>
  <si>
    <t>13,30 - 20,30</t>
  </si>
  <si>
    <t>SALONE DELL'AUTO - Gran premio di Torino</t>
  </si>
  <si>
    <t>PROCESSIONE CONSOLATA</t>
  </si>
  <si>
    <t>19,00 - 22,30</t>
  </si>
  <si>
    <t>IL FARO'</t>
  </si>
  <si>
    <t>16,30 - 22,30</t>
  </si>
  <si>
    <t>INAUGURAZIONE OGR CON CONCERTI</t>
  </si>
  <si>
    <t>17,00 - 02,30</t>
  </si>
  <si>
    <t>O.P OGR PER CONCERTI</t>
  </si>
  <si>
    <t>17,30 - 02,30</t>
  </si>
  <si>
    <t>TUTTASTORTA IN CITTA'</t>
  </si>
  <si>
    <t>07,30 - 11,00</t>
  </si>
  <si>
    <t>INAUGURAZIONE LUCI D'ARTISTA VIA DI NANNI</t>
  </si>
  <si>
    <t>CIMITERO MONUMENTALE</t>
  </si>
  <si>
    <t>TORINO - RIVOLI</t>
  </si>
  <si>
    <t>TRASFERIMENTO BREMACK DA RIVOLI IN SEDE</t>
  </si>
  <si>
    <t>18,00 - 20,00</t>
  </si>
  <si>
    <t>TURIN MARATHON - STATI UNITI / SAN SECONDO</t>
  </si>
  <si>
    <t>07,30 - 15,30</t>
  </si>
  <si>
    <t>CIMITERO MONUMENTALE - CHIUSURA</t>
  </si>
  <si>
    <t>16,00 - 18,00</t>
  </si>
  <si>
    <t>16,30 - 18,00</t>
  </si>
  <si>
    <t>TORINO - SUPERGA</t>
  </si>
  <si>
    <t>20,10 - 00,10</t>
  </si>
  <si>
    <t>NOTTE SPIRITUALE - PREGHIERA CON NOSIGLIA</t>
  </si>
  <si>
    <t>CIMITERO MONUMENTALE - MESSA + CHIUSURA</t>
  </si>
  <si>
    <t>SERVIZI DI VOLONTARIATO ANC ANNO 2018</t>
  </si>
  <si>
    <t>Esercitazione PIEMODEX Campo base aeroporto</t>
  </si>
  <si>
    <t>15,30 - 03,30</t>
  </si>
  <si>
    <t>ALESSANDRIA</t>
  </si>
  <si>
    <t>GMG CON CARDINALE NOSIGLIA ALLA MOLE</t>
  </si>
  <si>
    <t>15,30 - 00,30</t>
  </si>
  <si>
    <t>SESTRIERE (TO)</t>
  </si>
  <si>
    <t>07,00 - 15,00</t>
  </si>
  <si>
    <t>VIVA per le scuole</t>
  </si>
  <si>
    <t>Processione Maria Ausiliatrice</t>
  </si>
  <si>
    <t>19,30 - 23,00</t>
  </si>
  <si>
    <t>Disinnesco bomba al Lingotto</t>
  </si>
  <si>
    <t>Processione Consolata</t>
  </si>
  <si>
    <t>16,00 - 23,00</t>
  </si>
  <si>
    <t>FESTA SAN GIOVANNI - I DRONI</t>
  </si>
  <si>
    <t>SETTIMO (TO)</t>
  </si>
  <si>
    <t>CORSO A.S.A. DELLA REGIONE PIEMONTE</t>
  </si>
  <si>
    <t>PELLEGRINI VERSO LA SINDONE</t>
  </si>
  <si>
    <t>12,30 - 00,00</t>
  </si>
  <si>
    <t>SACRA S,MICHELE - AVIGLIANA - RIVOLI</t>
  </si>
  <si>
    <t>15,00 - 02,00</t>
  </si>
  <si>
    <t>PELLEGRINI PER OSTENSIONE SINDONE</t>
  </si>
  <si>
    <t>18,30- 01,30</t>
  </si>
  <si>
    <t>PIEA (AT)</t>
  </si>
  <si>
    <t>GRAN FONDO TORINO</t>
  </si>
  <si>
    <t>VINOVO (TO)</t>
  </si>
  <si>
    <t>HIPPORUN</t>
  </si>
  <si>
    <t>07,00 - 11,00</t>
  </si>
  <si>
    <t>FINALE CAMPIONATO MONDIALE DI PALLAVOLO</t>
  </si>
  <si>
    <t>18,15 - 01,00</t>
  </si>
  <si>
    <t>STARTUP2018 - Giovani con il vescovo di Torino</t>
  </si>
  <si>
    <t>STUINIGI (TO)</t>
  </si>
  <si>
    <t>16,00 - 24,00</t>
  </si>
  <si>
    <t>ESERZITAZIONE EU ITA MODEX 2018 - Sorveglianza</t>
  </si>
  <si>
    <t>16,00 - 01,00</t>
  </si>
  <si>
    <t>SERVIZI DI VOLONTARIATO ANC ANNO 2019</t>
  </si>
  <si>
    <t xml:space="preserve">50' CHIESA DELLA RESURREZIONE Via Monterosa </t>
  </si>
  <si>
    <t>11,00 - 15,00</t>
  </si>
  <si>
    <t xml:space="preserve">MARAT. CHIESA DELLA RESURREZIONE Via Monterosa </t>
  </si>
  <si>
    <t>ESERCITAZIONE PROT CIVILE PARCO VALLETTE</t>
  </si>
  <si>
    <t>14,00 - 22,00</t>
  </si>
  <si>
    <t>GRUGLIASCO (TO)</t>
  </si>
  <si>
    <t>VISITA CENTRO "ISOLA CHE NON C'E' " CON DRONI</t>
  </si>
  <si>
    <t>CHIVASSO (TO)</t>
  </si>
  <si>
    <t>CITTADINANZA IONORARIA ARMA CARABINIERI</t>
  </si>
  <si>
    <t>CASELLE (TO)</t>
  </si>
  <si>
    <t>10°ANNIVERSARIO PROTEZIONE CIVILE CASELLE</t>
  </si>
  <si>
    <t>HAND BIKE</t>
  </si>
  <si>
    <t>07,00 - 15,30</t>
  </si>
  <si>
    <t>FESTA CONSOLATA</t>
  </si>
  <si>
    <t>FARO' DI SAN GIOVANNI</t>
  </si>
  <si>
    <t>17,00 - 22,30</t>
  </si>
  <si>
    <t>CAST,DON BOSCO</t>
  </si>
  <si>
    <t>GRAN FONDO CICLISMO - MASTER GAMES 2019</t>
  </si>
  <si>
    <t>07,00 - 13,00</t>
  </si>
  <si>
    <t>DISINNESCO ORDIGNO BELLICO</t>
  </si>
  <si>
    <t>EUROPEAN MASTER GAMES</t>
  </si>
  <si>
    <t>ASSISTENZA TEST SIEROLOGICI COVID-19</t>
  </si>
  <si>
    <t>TORINO - SEDE PROTEZIONE CIVILE REGIONE PIEMONTE CORSO MARCHE</t>
  </si>
  <si>
    <t>SERVIZI DI VOLONTARIATO ANC ANNO 2020</t>
  </si>
  <si>
    <t>ORA INIZIO</t>
  </si>
  <si>
    <t>ORA FINE</t>
  </si>
  <si>
    <t>TOTALE ORE</t>
  </si>
  <si>
    <t>APPRENDISTATO UNITA' DI CRISI</t>
  </si>
  <si>
    <t>DA QUESTO ANNO ( DAL 11 MAGGIO ) LASCIO IL NUCLEO PROVINCIALE DI TORINO E MI SPOSTO NEL NUCLEO REGIONALE</t>
  </si>
  <si>
    <t>RIUNIONE PER CREAZIONE SEGRETERIA</t>
  </si>
  <si>
    <t>TORINO - OSPEDALE AMEDEO DI SAVOIA</t>
  </si>
  <si>
    <t>ASSISTENZA TAMPONI COVID-19</t>
  </si>
  <si>
    <t>TORINO - LINGOTTO FIERE</t>
  </si>
  <si>
    <t>ASSISTENZA TEST ACCESSO UNVERSITA'</t>
  </si>
  <si>
    <t>LINGOTTO FIERE - Vigilanza votazioni nuovo consiglio FISI - sport invernali</t>
  </si>
  <si>
    <t>TORINO - PADIGLIONE 5 PARCO DEL VALENTINO</t>
  </si>
  <si>
    <t>ALLESTIMENTO CAMPO COVID-19</t>
  </si>
  <si>
    <t>TORINO - UNITA' DI CRISI - DIRMEI - OSP. VALDESE V.S.PELLICO 19</t>
  </si>
  <si>
    <t>CONTROLLO ACCESSI</t>
  </si>
  <si>
    <t>TORINO - ABITAZIONE PRIVATA</t>
  </si>
  <si>
    <t>REGISTRAZIONE PRESENZE VOLONTARI</t>
  </si>
  <si>
    <t>TORINO - HUB LAVAZZA VIA ANCONA 11</t>
  </si>
  <si>
    <t>SERVIZI DI VOLONTARIATO ANC ANNO 2021</t>
  </si>
  <si>
    <t>PRIMO SERVIZIO DEL 2021 FATTO IL 09 LUGLIO</t>
  </si>
  <si>
    <t>ASSISTENZA VACCINAZIONI COVID-19</t>
  </si>
  <si>
    <t>ESERCITAZIONE EU ITA MODEX 2018 - Sorveglianza</t>
  </si>
  <si>
    <t>19.30</t>
  </si>
  <si>
    <t>23.30</t>
  </si>
  <si>
    <t>16.00</t>
  </si>
  <si>
    <t>VERRUA SAVOIA (TO)</t>
  </si>
  <si>
    <t>AUTOMORETRO' STAND CARABINIERI</t>
  </si>
  <si>
    <t>TORINO - PALAVELA</t>
  </si>
  <si>
    <t>TROFEO DELLE REGIONI DI PATTINAGGIO SUL GHIACCIO</t>
  </si>
  <si>
    <t>Prima tappa del Giro d'Italia-crono a squadre Venaria-Torino</t>
  </si>
  <si>
    <t>Porto la PANDA a sostiruire le gomme da invernali a estive</t>
  </si>
  <si>
    <t>Raduno Alpini</t>
  </si>
  <si>
    <t xml:space="preserve">Vigilanza veglia di preghiera </t>
  </si>
  <si>
    <t>Processione per la festa di Maria Ausiliatrice</t>
  </si>
  <si>
    <t>Passaggio del Giro d'Italia in strada San Mauro - Viabilità</t>
  </si>
  <si>
    <t>TORINO - CASERMA CERNAIA</t>
  </si>
  <si>
    <t>TORINO - MARIA AUSILIATRICE</t>
  </si>
  <si>
    <t>PRA CATINAT ( TO )</t>
  </si>
  <si>
    <t>Inquadramento per la festa dell'arma - Aut.DEFENDER</t>
  </si>
  <si>
    <t>Trasporto persone a Pinerolo per servizio Pra Catinat con DEF.</t>
  </si>
  <si>
    <t>Trasporto persone per servizio assistenza con DEFENDER</t>
  </si>
  <si>
    <t>Montaggio ponte radio e centrale in Provincia e Cernaia</t>
  </si>
  <si>
    <t>TORINO - CONSOLATA</t>
  </si>
  <si>
    <t>Ritiro tende gonfiabili presso deposito Regione Piemonte</t>
  </si>
  <si>
    <t>DRUENTO ( TO )</t>
  </si>
  <si>
    <t>Ritiro veicoli messi a disposizione da Fiat per raduno ANC</t>
  </si>
  <si>
    <t>TORINO - FIAT MIRAFIORI</t>
  </si>
  <si>
    <t>Montaggio tende mediche al centro il cavallo x carosello CC</t>
  </si>
  <si>
    <t>Concerto fanfara arma carabinieri in piazza San Carlo</t>
  </si>
  <si>
    <t>Deposizione corona ai caduti alla Gran Madre</t>
  </si>
  <si>
    <t>Deposizione corona ai caduti al Monumento al Carabiniere</t>
  </si>
  <si>
    <t>Chiesa Maria Ausiliatrice - Messa per Carabinieri</t>
  </si>
  <si>
    <t xml:space="preserve">Carosello Carabinieri a cavallo e smontaggio tende </t>
  </si>
  <si>
    <t xml:space="preserve">TORINO </t>
  </si>
  <si>
    <t>Raduno Associazione Nazionale Carabinieri - postazione p.S.Carlo</t>
  </si>
  <si>
    <t>Consegna pick-up e ritiro panda di Pinerolo</t>
  </si>
  <si>
    <t xml:space="preserve">Smontaggio ponte radio sul palazzo della Provincia </t>
  </si>
  <si>
    <t>Caserma Cernaia per saluto di commiato del generale Giuliani</t>
  </si>
  <si>
    <t>Caserma Bergia per part gen Giuliani e arrivo nuovo gen La Vacca</t>
  </si>
  <si>
    <t>Ritiro Punto EVO con livrea ANC e consegna rimorchio con Maurizio</t>
  </si>
  <si>
    <t>Ritiro Panda con livrea ANC e ritiro rimorchio con Maurizio</t>
  </si>
  <si>
    <t>Ufficio Operativo per EMERGENZA SATELLITE. Pronto intervento</t>
  </si>
  <si>
    <t>CIMITERO MONUMENTALE DI TORINO</t>
  </si>
  <si>
    <t>Vigilanza affluenza cimiteri</t>
  </si>
  <si>
    <t>GOLOSARIA in via Durandi</t>
  </si>
  <si>
    <t>Vigilanza e controllo brillamento ordigno esplosivo</t>
  </si>
  <si>
    <t>SAN CARLO CANAVESE ( TO )</t>
  </si>
  <si>
    <t>PINEROLO ( TO )</t>
  </si>
  <si>
    <t>RIVOLI ( TO )</t>
  </si>
  <si>
    <t>Assistenza e vigilanza sui Pellegrini per la Sindone</t>
  </si>
  <si>
    <t>Vigilanza su Pellegrinaggio Militare per la Sindone</t>
  </si>
  <si>
    <t>Vigilanza votazioninuovo consiglio FISI - sport invernali</t>
  </si>
  <si>
    <t>Viabilità per concerto Primo Maggio</t>
  </si>
  <si>
    <t>TORINO - PIAZZA VITTORIO, VIA ROMA</t>
  </si>
  <si>
    <t>TORINO - VIA ARIVESCOVADO</t>
  </si>
  <si>
    <t>ASTI ( TO )</t>
  </si>
  <si>
    <t>Servizio ai fuochi d'artificio per festa patronale di San Secondo</t>
  </si>
  <si>
    <t>VISITA DEL PAPA A TORINO PER LA SINDONE</t>
  </si>
  <si>
    <t>Prelievo e consegna barca con defender</t>
  </si>
  <si>
    <t>MONCALIERI ( TO ) - CHIERI ( TO )</t>
  </si>
  <si>
    <t>Prove per inquadramento per la festa dell'arma</t>
  </si>
  <si>
    <t>Inquadramento per la festa dell'arma</t>
  </si>
  <si>
    <t>SANTENA ( TO )</t>
  </si>
  <si>
    <t>GIAVENO ( TO )</t>
  </si>
  <si>
    <t>SPINETTA MARENGO (AL)</t>
  </si>
  <si>
    <t>CASTELLO DI MONCALIERI _ BATTAGLIONE</t>
  </si>
  <si>
    <t>TORINO - FESTA DI SANGIOVANNI</t>
  </si>
  <si>
    <t>CASTELLO DI RACCONIGI ( TO )</t>
  </si>
  <si>
    <t>Viabilità per visita del Presidente della Repubblica Napolitano</t>
  </si>
  <si>
    <t>Notte Bianca</t>
  </si>
  <si>
    <t>Farò - Viabilità Piazza Castello angolo Via Po</t>
  </si>
  <si>
    <t>Fuochi - Viabilità Corso Cairoli angolo Via Giolitti</t>
  </si>
  <si>
    <t>Vigilanza mostra scultura internazionale</t>
  </si>
  <si>
    <t>Recupero tende assegnate da Dipartimento P.C.</t>
  </si>
  <si>
    <t>Scarico tende caricate ad AL</t>
  </si>
  <si>
    <t>Fuochi per San Lorenzo</t>
  </si>
  <si>
    <t>PINASCA ( TO )</t>
  </si>
  <si>
    <t xml:space="preserve">CENTALLO ( CN ) </t>
  </si>
  <si>
    <t xml:space="preserve">Per raduno cinofili, consegna radio e montaggio tende </t>
  </si>
  <si>
    <t>Per riprogrammazione radio</t>
  </si>
  <si>
    <t xml:space="preserve">Scarico tende </t>
  </si>
  <si>
    <t xml:space="preserve">Foto ricordo con membri ANC gruppo di fatto </t>
  </si>
  <si>
    <t xml:space="preserve">Porto il DEFENDER a far equilibrare le gomme </t>
  </si>
  <si>
    <t>Porto la PANDA a sostiruire le gomme da estive a invernali</t>
  </si>
  <si>
    <t>TORINO - CIMITERO MONUMENTALE</t>
  </si>
  <si>
    <t>TORINO - CIMITERO MONUMENTALE DI TORINO</t>
  </si>
  <si>
    <t>CONCERTO DEI NOMADI</t>
  </si>
  <si>
    <t>TEATRO REGIO - GOLOSARIA 2010</t>
  </si>
  <si>
    <t>TURIN MARATHON in c.so Matteotti / c. so Re Umberto</t>
  </si>
  <si>
    <t>CIMITERO TORINO NORD MONUMENTALE</t>
  </si>
  <si>
    <t>SERVIZIO CIMITERI</t>
  </si>
  <si>
    <t>Processione festa Maria Ausiliatrice</t>
  </si>
  <si>
    <t>PECETTO ( TO )</t>
  </si>
  <si>
    <t>Gara ciclistica all'interno del paese</t>
  </si>
  <si>
    <t>Il PALIO</t>
  </si>
  <si>
    <t>Giornata all' AEROCLUB di c.so MARCHE</t>
  </si>
  <si>
    <t>COLLEGNO ( TO )</t>
  </si>
  <si>
    <t>Giornata all' AEROCLUB c.so MARCHE - Esercitazione</t>
  </si>
  <si>
    <r>
      <t xml:space="preserve">GIORNATA DEL FAI - Via M.Vittoria 4 e 6 - </t>
    </r>
    <r>
      <rPr>
        <i/>
        <u/>
        <sz val="10"/>
        <rFont val="Arial"/>
        <family val="2"/>
      </rPr>
      <t>REFERENTE DEL SERVIZIO</t>
    </r>
  </si>
  <si>
    <r>
      <t xml:space="preserve">GIORNATA AIL - Via Roma - </t>
    </r>
    <r>
      <rPr>
        <i/>
        <u/>
        <sz val="10"/>
        <rFont val="Arial"/>
        <family val="2"/>
      </rPr>
      <t>REFERENTE DEL SERVIZIO</t>
    </r>
  </si>
  <si>
    <r>
      <t xml:space="preserve">CHIESA SANTA MARIA GORETTI in V.ACTIS 20 - PROCESSIONE - </t>
    </r>
    <r>
      <rPr>
        <i/>
        <u/>
        <sz val="10"/>
        <rFont val="Arial"/>
        <family val="2"/>
      </rPr>
      <t>REF.</t>
    </r>
  </si>
  <si>
    <r>
      <t xml:space="preserve">PALAZZETTO DELLO SPORT - Giornata fondazione O.A.S.I.- </t>
    </r>
    <r>
      <rPr>
        <i/>
        <u/>
        <sz val="10"/>
        <rFont val="Arial"/>
        <family val="2"/>
      </rPr>
      <t>REFERENTE</t>
    </r>
  </si>
  <si>
    <t>20:00 - 00,00</t>
  </si>
  <si>
    <t>CAST,DON BOSCO ( AT )</t>
  </si>
  <si>
    <t>19.00</t>
  </si>
  <si>
    <t>SITO E TIPO DI SERVIZIO</t>
  </si>
  <si>
    <t>CITTADINANZA ONORARIA ARMA CARABINIERI</t>
  </si>
  <si>
    <t>MONAST DI LANZO</t>
  </si>
  <si>
    <t>ESERCITAZIONE VALLE TESSO</t>
  </si>
  <si>
    <t>07,30 - 19,00</t>
  </si>
  <si>
    <t>07,30 - 00,00</t>
  </si>
  <si>
    <t>MONASTERO DI LANZO ( TO )</t>
  </si>
  <si>
    <t>BLU</t>
  </si>
  <si>
    <t>Riunione con CRI per ESERCITAZIONE VALLE TESSO con Pacini</t>
  </si>
  <si>
    <t>LINGOTTO FIERE . Trasferimento DEFENDER per fiera PROTEC</t>
  </si>
  <si>
    <t>Borghese</t>
  </si>
  <si>
    <t>Mezza maratona zona centro SOLFERINO / SANTA CHIARA</t>
  </si>
  <si>
    <t>SERVIZI</t>
  </si>
  <si>
    <t>ORE DI SERVIZIO</t>
  </si>
  <si>
    <t>ORE SERVIZIO ANNUE</t>
  </si>
  <si>
    <t>GRUGLIASCO (TO) - HUB LA NAVE</t>
  </si>
  <si>
    <t>PROT CIV</t>
  </si>
  <si>
    <t>ODV</t>
  </si>
  <si>
    <t>SERVIZI DI VOLONTARIATO ANC ANNO 2022</t>
  </si>
  <si>
    <t>TORINO - CASERMA CERNAIA - PIAZZA CASTELLO</t>
  </si>
  <si>
    <t>PROVE GIURAMENTO SOLENNE ALLIEVI</t>
  </si>
  <si>
    <t>PRIMO SERVIZIO DEL 2022 FATTO IL 21 LUGLIO</t>
  </si>
  <si>
    <t>PROVE GIURAMENTO SOLENNE ALLIEVI CARABINIERI</t>
  </si>
  <si>
    <t>ACCOMPAGNAMENTO ALLIEVI</t>
  </si>
  <si>
    <t>ACCOMPAGNAMENTO ALLIEVI CARABINIERI AL GIURAMENTO SOLENNE</t>
  </si>
  <si>
    <t>CHIESA GESU' REDENTORE in P/zza GIOVANNI XXIII - VIA CRUCIS</t>
  </si>
  <si>
    <t xml:space="preserve"> RAPPRESENTANZA FUNERALE MAURIZIO CAPPO</t>
  </si>
  <si>
    <t>TORINO - CHIESA SAN BERNARDINO IN VIA SAN BERNARDINO</t>
  </si>
  <si>
    <t>TORINO - CHIESA SAN BERNARDINO</t>
  </si>
  <si>
    <t>FUNERALE MAURIZIO CAPPO</t>
  </si>
  <si>
    <t>NOMAGLIO (TO)</t>
  </si>
  <si>
    <t>FIERA DELLA CASTAGNA</t>
  </si>
  <si>
    <t>SUSA ( TO )</t>
  </si>
  <si>
    <t>CORSO GUIDA SICURA C/O MOTOR OASI PIEMONTE</t>
  </si>
  <si>
    <t>TORINO - FARMACIA COMUNALE 29 VIA ORVIETO 10/A</t>
  </si>
  <si>
    <t xml:space="preserve">GIORNATA DEL BANCO DEL FARMACO </t>
  </si>
  <si>
    <t>PC - CAPO SERV.</t>
  </si>
  <si>
    <t>SERVIZI DI VOLONTARIATO ANC ANNO 2023</t>
  </si>
  <si>
    <t>SETTIMO T.SE ( TO ) - VIA BRESCIA</t>
  </si>
  <si>
    <t>GIRO D 'ITALIA CICLISTICO NEXT GENERATION</t>
  </si>
  <si>
    <t>CIMITERO MONUMENTALE - Vigilanza interna</t>
  </si>
  <si>
    <r>
      <t xml:space="preserve">GIORNATA DEL FAI - Via M.Vittoria 4 e 6 - </t>
    </r>
    <r>
      <rPr>
        <i/>
        <u/>
        <sz val="12"/>
        <rFont val="Arial"/>
        <family val="2"/>
      </rPr>
      <t>REFERENTE DEL SERVIZIO</t>
    </r>
  </si>
  <si>
    <r>
      <t xml:space="preserve">GIORNATA AIL - Via Roma - </t>
    </r>
    <r>
      <rPr>
        <i/>
        <u/>
        <sz val="12"/>
        <rFont val="Arial"/>
        <family val="2"/>
      </rPr>
      <t>REFERENTE DEL SERVIZIO</t>
    </r>
  </si>
  <si>
    <r>
      <t xml:space="preserve">CHIESA SANTA MARIA GORETTI in V.ACTIS 20 - PROCESSIONE - </t>
    </r>
    <r>
      <rPr>
        <i/>
        <u/>
        <sz val="12"/>
        <rFont val="Arial"/>
        <family val="2"/>
      </rPr>
      <t>REF.</t>
    </r>
  </si>
  <si>
    <t>BARDONECCHIA ( TO )</t>
  </si>
  <si>
    <t>ASSISTENZA POPOLAZIONE - CONTROLLO STRADA CHIUSA PER LAVORI</t>
  </si>
  <si>
    <t>ASSISTENZA POST ALLUVIONE</t>
  </si>
  <si>
    <t>COLLEGNO ( TO ) - CAMPO VOLO</t>
  </si>
  <si>
    <t>AIR SHOW PER 100 ANNI AERONAUTICA</t>
  </si>
  <si>
    <t>CHIERI ( TO )</t>
  </si>
  <si>
    <t>INAUGURAZIONE NUOVA SEDE ANC CHIERI</t>
  </si>
  <si>
    <t>FIERA DELLA TOMA</t>
  </si>
  <si>
    <t>CONDOVE ( TO )</t>
  </si>
  <si>
    <t>CHIERI ( TO ) - SEDE COORDINAMENTO</t>
  </si>
  <si>
    <t>"SENTINELLA"  PER  IT-ALERT SU RISCHIO INCIDENTE NUCLEARE</t>
  </si>
  <si>
    <t>CERNAIA - RITIRO ATTESTATO BENEMERENZA EMERGENZA 2023</t>
  </si>
  <si>
    <t>CASERMA CERNAIA PER RITIRO ATTESTATO BENEMERENZA EMERG. 2023</t>
  </si>
  <si>
    <t>PARCO RUFFINI - FESTEGGIAMENTI PER 210° ANNIVERSARIO FONDAZIONE</t>
  </si>
  <si>
    <t>PARCO RUFFINI - 210° ANNIVERSARIO FONDAZIONE CARABINIERI</t>
  </si>
  <si>
    <t>VENARIA REALE ( TO )</t>
  </si>
  <si>
    <t>GIURAMENTO CARABINIERI</t>
  </si>
  <si>
    <t>FUNERALI IN VIA VADO 9  DI DANILO MOMBRINI</t>
  </si>
  <si>
    <t xml:space="preserve">TORINO - CHIESA DI SANTA MONICA VIA VADO 9 </t>
  </si>
  <si>
    <t>FUNERALI DI DANILO MOMBRINI</t>
  </si>
  <si>
    <t>PARCO RUFFINI - CAMBIO COMANDANTE SCUOLA ALLIEVI CERNAIA</t>
  </si>
  <si>
    <t>PARCO RUFFINI - CAMBIO COMANDANTE CERNAIA</t>
  </si>
  <si>
    <t>REGGIA - GIURAMENTO CARABINIERI</t>
  </si>
  <si>
    <t>TORINO - PIAZZA ARBARELLO - PIAZZA CASTELLO</t>
  </si>
  <si>
    <t>SFILATA PER 1° RADUNO REGIONALE PROTEZIONE CIVILE PIEMONTE</t>
  </si>
  <si>
    <t>SFILATA PER 1° RADUNO REGIONALE PROTEZIONE CIVILE</t>
  </si>
  <si>
    <t>SERVIZI DI VOLONTARIATO ANC ANNO 2024</t>
  </si>
  <si>
    <t>SERVIZI DI VOLONTARIATO ANC ANNO 2025</t>
  </si>
  <si>
    <t>PALAVELA - Via VENTIMIGLIA</t>
  </si>
  <si>
    <t>UNIVERSIADI TORINO 2025</t>
  </si>
  <si>
    <t>TORINO - PALAVELA VIA VENTIMIGLIA</t>
  </si>
  <si>
    <t>TORINO - PALATAZZOLI CORSO TAZZOLI</t>
  </si>
  <si>
    <t>PALATAZZOLI - C.so TAZZOLI</t>
  </si>
  <si>
    <t>UNIVERSIADI TORINO 2026</t>
  </si>
  <si>
    <t>SPECIAL OLIMPICS WINTER GAMES</t>
  </si>
  <si>
    <t>EMERGENZA ALLUVIONE GIUGNO / LUGLIO 2025</t>
  </si>
  <si>
    <t>TORINO - PALA ASTI PARCO RUFFINI</t>
  </si>
  <si>
    <t>VIGILANZA GIUBILEO MONDIALE GIOVANI 2025 IN SOSTA A TORINO</t>
  </si>
  <si>
    <t>TORINO - CORSO CASALE ANG VIA G.CAFASSO</t>
  </si>
  <si>
    <t>VUELTA - GIRO DI SPAGNA A TORINO</t>
  </si>
  <si>
    <t>STUPINIGI ( TO ) - IL PARCO DEL CASTELLO</t>
  </si>
  <si>
    <t>LA VITA DI CORTE AI TEMPI DI NAPOLEONE - SFILATA CARRI NEL PARCO</t>
  </si>
  <si>
    <t>ODV NUCLEO</t>
  </si>
  <si>
    <t>TORINO - PALAZZETTO OVAL</t>
  </si>
  <si>
    <t>EVENTO HYROX</t>
  </si>
  <si>
    <t>SERVIZI DI VOLONTARIATO ANC ANNO 2026</t>
  </si>
  <si>
    <t>ODV PC</t>
  </si>
  <si>
    <t>TORINO - SEDE PROTEZIONE CIVILE COMUNALE V.MAGNOLIE 5</t>
  </si>
  <si>
    <t>RIUNIONE CON PROTEZIONE CIVILE COMUNALE</t>
  </si>
  <si>
    <t>TORINO - PRONTO SOCCORSO OSPEDALE GRADENIGO</t>
  </si>
  <si>
    <t>COLLOQUIO CON RESPONSABILE PER FUTURA COLLABORAZIONE</t>
  </si>
  <si>
    <t>INCONTRO DEL NUCLEO CON POLIZIA MUNICIPALE</t>
  </si>
  <si>
    <t>TORINO - V.PONCHIELLI 68 RIMESSA COMUNE DI TORINO</t>
  </si>
  <si>
    <t>VISIONARE AUTO IN ASTA DEL COMUNE PER ACQUISTO</t>
  </si>
  <si>
    <t>RITIRO RADIO PER SERVIZIO FARO' SAN GIOVANNI</t>
  </si>
  <si>
    <t>TORINO - VIA IV MARZO E PIAZZA CASTELLO</t>
  </si>
  <si>
    <t>TORINO - PIAZZETTA REALE</t>
  </si>
  <si>
    <t>CAPOSQ</t>
  </si>
  <si>
    <t>PRESENTAZIONE NUCLEO PC ALLA SEZIONE DI TOIRNO</t>
  </si>
  <si>
    <t xml:space="preserve">ORA FINE </t>
  </si>
  <si>
    <t>DURATA</t>
  </si>
  <si>
    <t>SEDE ANC PC PER ASSEMBLEA ELETTORALE</t>
  </si>
  <si>
    <t>SEDE ANC PC PER ELEZIONE NUOVO CONSIGLIO</t>
  </si>
  <si>
    <t>CONSIGLIO DIRETTIVO ON LINE</t>
  </si>
  <si>
    <t>TORINO - CASERNA CERNAIA</t>
  </si>
  <si>
    <t>CONSIGLIO DIRETTIVO</t>
  </si>
  <si>
    <t>ASSEMBLEA SOCI</t>
  </si>
  <si>
    <t>TIPOLOGIA</t>
  </si>
  <si>
    <t>ENTE</t>
  </si>
  <si>
    <t>DESCRIZIONE DEL SERVIZIO</t>
  </si>
  <si>
    <r>
      <t xml:space="preserve">PALAZZETTO DELLO SPORT - Giornata fondazione O.A.S.I.- </t>
    </r>
    <r>
      <rPr>
        <b/>
        <i/>
        <u/>
        <sz val="12"/>
        <color indexed="9"/>
        <rFont val="Arial"/>
        <family val="2"/>
      </rPr>
      <t>REFERENTE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</si>
</sst>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[$-410]d\-mmm;@"/>
    <numFmt numFmtId="166" formatCode="[h]:mm:ss;@"/>
    <numFmt numFmtId="167" formatCode="[$-410]d\-mmm\-yy;@"/>
  </numFmts>
  <fonts count="49" x14ac:knownFonts="1">
    <font>
      <sz val="10"/>
      <name val="Arial"/>
    </font>
    <font>
      <b/>
      <sz val="11"/>
      <color indexed="12"/>
      <name val="Arial"/>
      <family val="2"/>
    </font>
    <font>
      <b/>
      <i/>
      <u/>
      <sz val="10"/>
      <color indexed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color indexed="12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i/>
      <u/>
      <sz val="12"/>
      <name val="Arial"/>
      <family val="2"/>
    </font>
    <font>
      <sz val="14"/>
      <name val="Arial"/>
      <family val="2"/>
    </font>
    <font>
      <sz val="8"/>
      <name val="Arial"/>
    </font>
    <font>
      <b/>
      <sz val="11"/>
      <color theme="0"/>
      <name val="Calibri"/>
      <family val="2"/>
      <scheme val="minor"/>
    </font>
    <font>
      <sz val="10"/>
      <color rgb="FF0070C0"/>
      <name val="Arial"/>
      <family val="2"/>
    </font>
    <font>
      <b/>
      <sz val="9"/>
      <color rgb="FF00206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4"/>
      <color rgb="FF002060"/>
      <name val="Arial"/>
      <family val="2"/>
    </font>
    <font>
      <b/>
      <sz val="12"/>
      <color rgb="FFFF0000"/>
      <name val="Arial"/>
      <family val="2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4"/>
      <color theme="0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sz val="12"/>
      <color rgb="FF002060"/>
      <name val="Arial"/>
      <family val="2"/>
    </font>
    <font>
      <sz val="14"/>
      <color rgb="FFFF0000"/>
      <name val="Arial"/>
      <family val="2"/>
    </font>
    <font>
      <sz val="14"/>
      <color theme="0"/>
      <name val="Arial"/>
      <family val="2"/>
    </font>
    <font>
      <b/>
      <sz val="10"/>
      <color rgb="FFFFFF00"/>
      <name val="Arial"/>
      <family val="2"/>
    </font>
    <font>
      <b/>
      <sz val="12"/>
      <color rgb="FF002060"/>
      <name val="Arial"/>
      <family val="2"/>
    </font>
    <font>
      <b/>
      <sz val="11"/>
      <color rgb="FF002060"/>
      <name val="Arial"/>
      <family val="2"/>
    </font>
    <font>
      <b/>
      <sz val="20"/>
      <color rgb="FF002060"/>
      <name val="Arial"/>
      <family val="2"/>
    </font>
    <font>
      <sz val="20"/>
      <color rgb="FF002060"/>
      <name val="Arial"/>
      <family val="2"/>
    </font>
    <font>
      <b/>
      <sz val="24"/>
      <color rgb="FF002060"/>
      <name val="Arial"/>
      <family val="2"/>
    </font>
    <font>
      <b/>
      <sz val="8"/>
      <color rgb="FF002060"/>
      <name val="Arial"/>
      <family val="2"/>
    </font>
    <font>
      <sz val="16"/>
      <name val="Arial"/>
      <family val="2"/>
    </font>
    <font>
      <b/>
      <i/>
      <u/>
      <sz val="12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329F9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9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2" borderId="1" xfId="0" applyFill="1" applyBorder="1" applyAlignment="1">
      <alignment horizontal="left"/>
    </xf>
    <xf numFmtId="0" fontId="7" fillId="3" borderId="0" xfId="0" applyFont="1" applyFill="1" applyAlignment="1">
      <alignment horizontal="center"/>
    </xf>
    <xf numFmtId="0" fontId="8" fillId="2" borderId="1" xfId="0" applyFont="1" applyFill="1" applyBorder="1"/>
    <xf numFmtId="0" fontId="7" fillId="2" borderId="1" xfId="0" applyFont="1" applyFill="1" applyBorder="1"/>
    <xf numFmtId="0" fontId="19" fillId="0" borderId="0" xfId="0" applyFont="1"/>
    <xf numFmtId="0" fontId="3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4" fontId="0" fillId="5" borderId="1" xfId="0" applyNumberFormat="1" applyFill="1" applyBorder="1"/>
    <xf numFmtId="0" fontId="0" fillId="4" borderId="1" xfId="0" applyFill="1" applyBorder="1"/>
    <xf numFmtId="0" fontId="7" fillId="0" borderId="0" xfId="0" applyFont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5" borderId="1" xfId="0" applyFont="1" applyFill="1" applyBorder="1"/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14" fontId="3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3" fillId="7" borderId="0" xfId="0" applyFont="1" applyFill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14" fontId="0" fillId="4" borderId="1" xfId="0" applyNumberFormat="1" applyFill="1" applyBorder="1"/>
    <xf numFmtId="0" fontId="3" fillId="4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3" xfId="0" applyFont="1" applyFill="1" applyBorder="1"/>
    <xf numFmtId="0" fontId="7" fillId="8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8" borderId="1" xfId="0" applyNumberFormat="1" applyFill="1" applyBorder="1"/>
    <xf numFmtId="0" fontId="0" fillId="8" borderId="1" xfId="0" applyFill="1" applyBorder="1"/>
    <xf numFmtId="0" fontId="20" fillId="0" borderId="0" xfId="0" applyFont="1" applyAlignment="1">
      <alignment horizontal="center"/>
    </xf>
    <xf numFmtId="0" fontId="21" fillId="5" borderId="0" xfId="0" applyFont="1" applyFill="1"/>
    <xf numFmtId="0" fontId="22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14" fontId="3" fillId="2" borderId="0" xfId="1" applyNumberFormat="1" applyFill="1"/>
    <xf numFmtId="0" fontId="3" fillId="0" borderId="0" xfId="1"/>
    <xf numFmtId="0" fontId="3" fillId="2" borderId="0" xfId="1" applyFill="1"/>
    <xf numFmtId="0" fontId="23" fillId="4" borderId="0" xfId="0" applyFont="1" applyFill="1"/>
    <xf numFmtId="14" fontId="3" fillId="2" borderId="0" xfId="2" applyNumberFormat="1" applyFill="1"/>
    <xf numFmtId="0" fontId="3" fillId="0" borderId="0" xfId="2"/>
    <xf numFmtId="0" fontId="3" fillId="2" borderId="0" xfId="2" applyFill="1"/>
    <xf numFmtId="14" fontId="3" fillId="2" borderId="0" xfId="2" applyNumberFormat="1" applyFill="1" applyAlignment="1">
      <alignment horizontal="center"/>
    </xf>
    <xf numFmtId="14" fontId="3" fillId="2" borderId="0" xfId="3" applyNumberFormat="1" applyFill="1"/>
    <xf numFmtId="0" fontId="3" fillId="0" borderId="0" xfId="3"/>
    <xf numFmtId="0" fontId="3" fillId="2" borderId="0" xfId="3" applyFill="1"/>
    <xf numFmtId="14" fontId="3" fillId="2" borderId="0" xfId="3" applyNumberFormat="1" applyFill="1" applyAlignment="1">
      <alignment horizontal="center"/>
    </xf>
    <xf numFmtId="14" fontId="3" fillId="2" borderId="0" xfId="4" applyNumberFormat="1" applyFill="1"/>
    <xf numFmtId="0" fontId="3" fillId="0" borderId="0" xfId="4"/>
    <xf numFmtId="0" fontId="3" fillId="2" borderId="0" xfId="4" applyFill="1"/>
    <xf numFmtId="0" fontId="3" fillId="3" borderId="0" xfId="4" applyFill="1" applyAlignment="1">
      <alignment horizontal="center"/>
    </xf>
    <xf numFmtId="14" fontId="3" fillId="2" borderId="0" xfId="4" applyNumberFormat="1" applyFill="1" applyAlignment="1">
      <alignment horizontal="center"/>
    </xf>
    <xf numFmtId="0" fontId="4" fillId="3" borderId="0" xfId="4" applyFont="1" applyFill="1" applyAlignment="1">
      <alignment horizontal="center"/>
    </xf>
    <xf numFmtId="0" fontId="3" fillId="2" borderId="0" xfId="4" applyFill="1" applyAlignment="1">
      <alignment horizontal="left"/>
    </xf>
    <xf numFmtId="14" fontId="3" fillId="2" borderId="0" xfId="5" applyNumberFormat="1" applyFill="1"/>
    <xf numFmtId="0" fontId="3" fillId="3" borderId="0" xfId="5" applyFill="1" applyAlignment="1">
      <alignment horizontal="center"/>
    </xf>
    <xf numFmtId="0" fontId="3" fillId="2" borderId="0" xfId="5" applyFill="1"/>
    <xf numFmtId="14" fontId="3" fillId="2" borderId="0" xfId="6" applyNumberFormat="1" applyFill="1"/>
    <xf numFmtId="0" fontId="7" fillId="3" borderId="0" xfId="6" applyFont="1" applyFill="1" applyAlignment="1">
      <alignment horizontal="center"/>
    </xf>
    <xf numFmtId="0" fontId="7" fillId="2" borderId="0" xfId="6" applyFont="1" applyFill="1"/>
    <xf numFmtId="0" fontId="3" fillId="2" borderId="0" xfId="6" applyFill="1"/>
    <xf numFmtId="14" fontId="3" fillId="2" borderId="0" xfId="7" applyNumberFormat="1" applyFill="1"/>
    <xf numFmtId="0" fontId="7" fillId="3" borderId="0" xfId="7" applyFont="1" applyFill="1" applyAlignment="1">
      <alignment horizontal="center"/>
    </xf>
    <xf numFmtId="0" fontId="7" fillId="2" borderId="0" xfId="7" applyFont="1" applyFill="1"/>
    <xf numFmtId="0" fontId="3" fillId="2" borderId="0" xfId="7" applyFill="1"/>
    <xf numFmtId="14" fontId="3" fillId="5" borderId="0" xfId="8" applyNumberFormat="1" applyFill="1"/>
    <xf numFmtId="0" fontId="7" fillId="3" borderId="0" xfId="8" applyFont="1" applyFill="1" applyAlignment="1">
      <alignment horizontal="center"/>
    </xf>
    <xf numFmtId="0" fontId="7" fillId="2" borderId="0" xfId="8" applyFont="1" applyFill="1"/>
    <xf numFmtId="0" fontId="3" fillId="5" borderId="0" xfId="8" applyFill="1"/>
    <xf numFmtId="14" fontId="3" fillId="6" borderId="0" xfId="8" applyNumberFormat="1" applyFill="1"/>
    <xf numFmtId="0" fontId="3" fillId="6" borderId="0" xfId="8" applyFill="1"/>
    <xf numFmtId="0" fontId="7" fillId="0" borderId="0" xfId="8" applyFont="1" applyAlignment="1">
      <alignment horizontal="center"/>
    </xf>
    <xf numFmtId="14" fontId="3" fillId="0" borderId="0" xfId="4" applyNumberFormat="1"/>
    <xf numFmtId="14" fontId="3" fillId="2" borderId="0" xfId="9" applyNumberFormat="1" applyFill="1"/>
    <xf numFmtId="0" fontId="7" fillId="3" borderId="0" xfId="9" applyFont="1" applyFill="1" applyAlignment="1">
      <alignment horizontal="center"/>
    </xf>
    <xf numFmtId="0" fontId="3" fillId="2" borderId="0" xfId="9" applyFill="1"/>
    <xf numFmtId="0" fontId="7" fillId="4" borderId="0" xfId="9" applyFont="1" applyFill="1" applyAlignment="1">
      <alignment horizontal="center"/>
    </xf>
    <xf numFmtId="14" fontId="3" fillId="5" borderId="0" xfId="9" applyNumberFormat="1" applyFill="1"/>
    <xf numFmtId="0" fontId="7" fillId="0" borderId="0" xfId="9" applyFont="1" applyAlignment="1">
      <alignment horizontal="center"/>
    </xf>
    <xf numFmtId="0" fontId="3" fillId="5" borderId="0" xfId="9" applyFill="1"/>
    <xf numFmtId="0" fontId="3" fillId="0" borderId="0" xfId="9"/>
    <xf numFmtId="14" fontId="3" fillId="5" borderId="0" xfId="9" applyNumberFormat="1" applyFill="1" applyAlignment="1">
      <alignment vertical="center"/>
    </xf>
    <xf numFmtId="0" fontId="3" fillId="7" borderId="0" xfId="9" applyFill="1"/>
    <xf numFmtId="0" fontId="3" fillId="5" borderId="0" xfId="9" applyFill="1" applyAlignment="1">
      <alignment vertical="center"/>
    </xf>
    <xf numFmtId="14" fontId="3" fillId="5" borderId="0" xfId="10" applyNumberFormat="1" applyFill="1"/>
    <xf numFmtId="0" fontId="3" fillId="0" borderId="0" xfId="10"/>
    <xf numFmtId="0" fontId="3" fillId="5" borderId="0" xfId="10" applyFill="1"/>
    <xf numFmtId="0" fontId="7" fillId="3" borderId="0" xfId="10" applyFont="1" applyFill="1" applyAlignment="1">
      <alignment horizontal="center"/>
    </xf>
    <xf numFmtId="14" fontId="3" fillId="4" borderId="0" xfId="10" applyNumberFormat="1" applyFill="1"/>
    <xf numFmtId="0" fontId="3" fillId="4" borderId="0" xfId="10" applyFill="1"/>
    <xf numFmtId="0" fontId="7" fillId="4" borderId="0" xfId="10" applyFont="1" applyFill="1" applyAlignment="1">
      <alignment horizontal="center"/>
    </xf>
    <xf numFmtId="14" fontId="3" fillId="5" borderId="0" xfId="10" applyNumberFormat="1" applyFill="1" applyAlignment="1">
      <alignment vertical="center"/>
    </xf>
    <xf numFmtId="0" fontId="7" fillId="3" borderId="0" xfId="10" applyFont="1" applyFill="1" applyAlignment="1">
      <alignment vertical="center"/>
    </xf>
    <xf numFmtId="0" fontId="7" fillId="8" borderId="0" xfId="10" applyFont="1" applyFill="1" applyAlignment="1">
      <alignment horizontal="center"/>
    </xf>
    <xf numFmtId="0" fontId="3" fillId="5" borderId="0" xfId="10" applyFill="1" applyAlignment="1">
      <alignment vertical="center"/>
    </xf>
    <xf numFmtId="14" fontId="3" fillId="2" borderId="0" xfId="11" applyNumberFormat="1" applyFill="1"/>
    <xf numFmtId="0" fontId="3" fillId="0" borderId="0" xfId="11"/>
    <xf numFmtId="0" fontId="3" fillId="5" borderId="0" xfId="11" applyFill="1"/>
    <xf numFmtId="0" fontId="7" fillId="3" borderId="0" xfId="11" applyFont="1" applyFill="1" applyAlignment="1">
      <alignment horizontal="center"/>
    </xf>
    <xf numFmtId="14" fontId="3" fillId="5" borderId="0" xfId="11" applyNumberFormat="1" applyFill="1"/>
    <xf numFmtId="0" fontId="7" fillId="0" borderId="0" xfId="11" applyFont="1" applyAlignment="1">
      <alignment horizontal="center"/>
    </xf>
    <xf numFmtId="14" fontId="3" fillId="2" borderId="0" xfId="12" applyNumberFormat="1" applyFill="1"/>
    <xf numFmtId="0" fontId="3" fillId="0" borderId="0" xfId="12"/>
    <xf numFmtId="0" fontId="3" fillId="5" borderId="0" xfId="12" applyFill="1"/>
    <xf numFmtId="0" fontId="7" fillId="3" borderId="0" xfId="12" applyFont="1" applyFill="1" applyAlignment="1">
      <alignment horizontal="center"/>
    </xf>
    <xf numFmtId="0" fontId="7" fillId="0" borderId="0" xfId="12" applyFont="1" applyAlignment="1">
      <alignment horizontal="center"/>
    </xf>
    <xf numFmtId="14" fontId="3" fillId="5" borderId="0" xfId="12" applyNumberFormat="1" applyFill="1"/>
    <xf numFmtId="14" fontId="3" fillId="5" borderId="0" xfId="13" applyNumberFormat="1" applyFill="1"/>
    <xf numFmtId="0" fontId="3" fillId="0" borderId="0" xfId="13"/>
    <xf numFmtId="0" fontId="3" fillId="5" borderId="0" xfId="13" applyFill="1"/>
    <xf numFmtId="14" fontId="3" fillId="8" borderId="0" xfId="13" applyNumberFormat="1" applyFill="1"/>
    <xf numFmtId="0" fontId="3" fillId="8" borderId="0" xfId="13" applyFill="1"/>
    <xf numFmtId="0" fontId="23" fillId="0" borderId="0" xfId="0" applyFont="1"/>
    <xf numFmtId="14" fontId="3" fillId="5" borderId="0" xfId="14" applyNumberFormat="1" applyFill="1"/>
    <xf numFmtId="0" fontId="3" fillId="0" borderId="0" xfId="14"/>
    <xf numFmtId="0" fontId="3" fillId="5" borderId="0" xfId="14" applyFill="1"/>
    <xf numFmtId="14" fontId="3" fillId="5" borderId="0" xfId="14" applyNumberFormat="1" applyFill="1" applyAlignment="1">
      <alignment vertical="center"/>
    </xf>
    <xf numFmtId="0" fontId="3" fillId="5" borderId="0" xfId="14" applyFill="1" applyAlignment="1">
      <alignment vertical="center"/>
    </xf>
    <xf numFmtId="0" fontId="20" fillId="8" borderId="0" xfId="14" applyFont="1" applyFill="1" applyAlignment="1">
      <alignment horizontal="center"/>
    </xf>
    <xf numFmtId="14" fontId="24" fillId="2" borderId="0" xfId="0" applyNumberFormat="1" applyFont="1" applyFill="1"/>
    <xf numFmtId="0" fontId="3" fillId="5" borderId="0" xfId="0" applyFont="1" applyFill="1"/>
    <xf numFmtId="14" fontId="3" fillId="5" borderId="3" xfId="0" applyNumberFormat="1" applyFont="1" applyFill="1" applyBorder="1" applyAlignment="1">
      <alignment vertical="center"/>
    </xf>
    <xf numFmtId="0" fontId="25" fillId="8" borderId="0" xfId="0" applyFont="1" applyFill="1" applyAlignment="1">
      <alignment horizontal="center"/>
    </xf>
    <xf numFmtId="0" fontId="26" fillId="5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2" fontId="3" fillId="0" borderId="0" xfId="0" applyNumberFormat="1" applyFont="1"/>
    <xf numFmtId="0" fontId="3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7" fillId="0" borderId="0" xfId="0" applyFont="1"/>
    <xf numFmtId="0" fontId="10" fillId="3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vertical="top"/>
    </xf>
    <xf numFmtId="0" fontId="10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/>
    <xf numFmtId="2" fontId="7" fillId="0" borderId="0" xfId="0" applyNumberFormat="1" applyFont="1"/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16" fontId="0" fillId="0" borderId="0" xfId="0" applyNumberFormat="1"/>
    <xf numFmtId="20" fontId="0" fillId="0" borderId="0" xfId="0" applyNumberFormat="1" applyAlignment="1">
      <alignment horizontal="center"/>
    </xf>
    <xf numFmtId="20" fontId="3" fillId="0" borderId="1" xfId="0" applyNumberFormat="1" applyFont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0" fontId="27" fillId="0" borderId="0" xfId="0" applyFont="1" applyAlignment="1">
      <alignment horizontal="center" vertical="center"/>
    </xf>
    <xf numFmtId="20" fontId="28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5" fontId="27" fillId="0" borderId="0" xfId="0" applyNumberFormat="1" applyFont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29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5" fontId="29" fillId="0" borderId="1" xfId="0" applyNumberFormat="1" applyFont="1" applyBorder="1" applyAlignment="1">
      <alignment horizontal="center"/>
    </xf>
    <xf numFmtId="20" fontId="29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0" fontId="3" fillId="5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6" fontId="30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/>
    </xf>
    <xf numFmtId="20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46" fontId="31" fillId="0" borderId="0" xfId="0" applyNumberFormat="1" applyFont="1" applyAlignment="1">
      <alignment horizontal="center" vertical="center" textRotation="90" wrapText="1"/>
    </xf>
    <xf numFmtId="46" fontId="13" fillId="0" borderId="0" xfId="0" applyNumberFormat="1" applyFont="1" applyAlignment="1">
      <alignment horizontal="center" vertical="center" textRotation="90"/>
    </xf>
    <xf numFmtId="0" fontId="32" fillId="8" borderId="1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5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20" fontId="3" fillId="5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20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0" fontId="36" fillId="11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 wrapText="1"/>
    </xf>
    <xf numFmtId="20" fontId="16" fillId="0" borderId="1" xfId="0" applyNumberFormat="1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4" fontId="38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12" fillId="4" borderId="4" xfId="0" applyFont="1" applyFill="1" applyBorder="1" applyAlignment="1">
      <alignment vertical="center"/>
    </xf>
    <xf numFmtId="20" fontId="16" fillId="4" borderId="1" xfId="0" applyNumberFormat="1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vertical="center" textRotation="90"/>
    </xf>
    <xf numFmtId="14" fontId="16" fillId="5" borderId="1" xfId="0" applyNumberFormat="1" applyFont="1" applyFill="1" applyBorder="1" applyAlignment="1">
      <alignment horizontal="center" vertical="center"/>
    </xf>
    <xf numFmtId="46" fontId="16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3" fillId="10" borderId="1" xfId="0" applyFont="1" applyFill="1" applyBorder="1" applyAlignment="1">
      <alignment horizontal="center" vertical="center"/>
    </xf>
    <xf numFmtId="164" fontId="16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vertical="center" textRotation="90"/>
    </xf>
    <xf numFmtId="0" fontId="32" fillId="0" borderId="1" xfId="0" applyFont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0" fontId="40" fillId="8" borderId="0" xfId="0" applyFont="1" applyFill="1"/>
    <xf numFmtId="49" fontId="13" fillId="0" borderId="1" xfId="0" applyNumberFormat="1" applyFont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3" fillId="9" borderId="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20" fontId="16" fillId="0" borderId="6" xfId="0" applyNumberFormat="1" applyFont="1" applyBorder="1" applyAlignment="1">
      <alignment horizontal="center" vertical="center"/>
    </xf>
    <xf numFmtId="20" fontId="16" fillId="0" borderId="8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33" fillId="10" borderId="8" xfId="0" applyFont="1" applyFill="1" applyBorder="1" applyAlignment="1">
      <alignment horizontal="center" vertical="center"/>
    </xf>
    <xf numFmtId="0" fontId="33" fillId="8" borderId="8" xfId="0" applyFont="1" applyFill="1" applyBorder="1" applyAlignment="1">
      <alignment horizontal="center" vertical="center"/>
    </xf>
    <xf numFmtId="14" fontId="47" fillId="0" borderId="0" xfId="0" applyNumberFormat="1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20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49" fontId="47" fillId="0" borderId="0" xfId="0" applyNumberFormat="1" applyFont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14" fontId="3" fillId="5" borderId="3" xfId="0" applyNumberFormat="1" applyFont="1" applyFill="1" applyBorder="1" applyAlignment="1">
      <alignment horizontal="center" vertical="center"/>
    </xf>
    <xf numFmtId="14" fontId="3" fillId="5" borderId="14" xfId="0" applyNumberFormat="1" applyFon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1" fillId="3" borderId="1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14" fontId="3" fillId="5" borderId="3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7" fillId="3" borderId="4" xfId="0" applyFont="1" applyFill="1" applyBorder="1" applyAlignment="1">
      <alignment horizontal="center" vertical="center" textRotation="90"/>
    </xf>
    <xf numFmtId="0" fontId="7" fillId="3" borderId="4" xfId="0" applyFont="1" applyFill="1" applyBorder="1" applyAlignment="1">
      <alignment horizontal="center" vertical="center"/>
    </xf>
    <xf numFmtId="14" fontId="0" fillId="5" borderId="14" xfId="0" applyNumberForma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41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6" fontId="30" fillId="9" borderId="6" xfId="0" applyNumberFormat="1" applyFont="1" applyFill="1" applyBorder="1" applyAlignment="1">
      <alignment horizontal="center" vertical="center" wrapText="1"/>
    </xf>
    <xf numFmtId="166" fontId="30" fillId="9" borderId="8" xfId="0" applyNumberFormat="1" applyFont="1" applyFill="1" applyBorder="1" applyAlignment="1">
      <alignment horizontal="center" vertical="center" wrapText="1"/>
    </xf>
    <xf numFmtId="20" fontId="25" fillId="9" borderId="1" xfId="0" applyNumberFormat="1" applyFont="1" applyFill="1" applyBorder="1" applyAlignment="1">
      <alignment horizontal="center" vertical="center" wrapText="1"/>
    </xf>
    <xf numFmtId="20" fontId="42" fillId="9" borderId="1" xfId="0" applyNumberFormat="1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/>
    </xf>
    <xf numFmtId="165" fontId="41" fillId="9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4" fontId="41" fillId="9" borderId="1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67" fontId="41" fillId="9" borderId="1" xfId="0" applyNumberFormat="1" applyFont="1" applyFill="1" applyBorder="1" applyAlignment="1">
      <alignment horizontal="center" vertical="center"/>
    </xf>
    <xf numFmtId="46" fontId="39" fillId="8" borderId="1" xfId="0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 textRotation="90"/>
    </xf>
    <xf numFmtId="166" fontId="3" fillId="0" borderId="4" xfId="0" applyNumberFormat="1" applyFont="1" applyBorder="1" applyAlignment="1">
      <alignment horizontal="center" vertical="center" textRotation="90"/>
    </xf>
    <xf numFmtId="166" fontId="3" fillId="0" borderId="14" xfId="0" applyNumberFormat="1" applyFont="1" applyBorder="1" applyAlignment="1">
      <alignment horizontal="center" vertical="center" textRotation="90"/>
    </xf>
    <xf numFmtId="20" fontId="39" fillId="8" borderId="6" xfId="0" applyNumberFormat="1" applyFont="1" applyFill="1" applyBorder="1" applyAlignment="1">
      <alignment horizontal="center" vertical="center"/>
    </xf>
    <xf numFmtId="20" fontId="39" fillId="8" borderId="8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textRotation="90"/>
    </xf>
    <xf numFmtId="46" fontId="46" fillId="9" borderId="3" xfId="0" applyNumberFormat="1" applyFont="1" applyFill="1" applyBorder="1" applyAlignment="1">
      <alignment horizontal="center" vertical="center" wrapText="1"/>
    </xf>
    <xf numFmtId="46" fontId="46" fillId="9" borderId="14" xfId="0" applyNumberFormat="1" applyFont="1" applyFill="1" applyBorder="1" applyAlignment="1">
      <alignment horizontal="center" vertical="center" wrapText="1"/>
    </xf>
    <xf numFmtId="20" fontId="42" fillId="9" borderId="3" xfId="0" applyNumberFormat="1" applyFont="1" applyFill="1" applyBorder="1" applyAlignment="1">
      <alignment horizontal="center" vertical="center" wrapText="1"/>
    </xf>
    <xf numFmtId="20" fontId="42" fillId="9" borderId="14" xfId="0" applyNumberFormat="1" applyFont="1" applyFill="1" applyBorder="1" applyAlignment="1">
      <alignment horizontal="center" vertical="center" wrapText="1"/>
    </xf>
    <xf numFmtId="0" fontId="4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textRotation="90"/>
    </xf>
    <xf numFmtId="0" fontId="3" fillId="9" borderId="14" xfId="0" applyFont="1" applyFill="1" applyBorder="1" applyAlignment="1">
      <alignment horizontal="center" vertical="center" textRotation="90"/>
    </xf>
    <xf numFmtId="14" fontId="44" fillId="9" borderId="1" xfId="0" applyNumberFormat="1" applyFont="1" applyFill="1" applyBorder="1" applyAlignment="1">
      <alignment horizontal="center" vertical="center"/>
    </xf>
    <xf numFmtId="164" fontId="37" fillId="9" borderId="1" xfId="0" applyNumberFormat="1" applyFont="1" applyFill="1" applyBorder="1" applyAlignment="1">
      <alignment horizontal="center" vertical="center" wrapText="1"/>
    </xf>
    <xf numFmtId="164" fontId="26" fillId="9" borderId="1" xfId="0" applyNumberFormat="1" applyFont="1" applyFill="1" applyBorder="1" applyAlignment="1">
      <alignment horizontal="center" vertical="center" wrapText="1"/>
    </xf>
  </cellXfs>
  <cellStyles count="15">
    <cellStyle name="Normale" xfId="0" builtinId="0"/>
    <cellStyle name="Normale 14" xfId="1" xr:uid="{731E1E0B-E305-45A5-8B24-107FC19B4C62}"/>
    <cellStyle name="Normale 15" xfId="2" xr:uid="{54D9B0EC-AC00-4978-AB16-B9CCC3586B90}"/>
    <cellStyle name="Normale 17" xfId="3" xr:uid="{364DA663-DD22-4774-8F35-0334B0CEB99E}"/>
    <cellStyle name="Normale 18" xfId="4" xr:uid="{AF62236F-6167-4F71-BE0D-AFC68DDB2FCC}"/>
    <cellStyle name="Normale 19" xfId="5" xr:uid="{8BF9AB94-339B-4DB1-9A5D-5807277117EE}"/>
    <cellStyle name="Normale 20" xfId="6" xr:uid="{7E584133-4322-40F3-B473-1450692604AD}"/>
    <cellStyle name="Normale 21" xfId="7" xr:uid="{BE3A9AEA-EB93-4220-8B33-87FFEA7BD509}"/>
    <cellStyle name="Normale 22" xfId="8" xr:uid="{3ECA8B60-8A2A-4B31-8679-197CBCFC1569}"/>
    <cellStyle name="Normale 23" xfId="9" xr:uid="{84C73C74-42D5-46F9-8BCF-00780AAAF216}"/>
    <cellStyle name="Normale 24" xfId="10" xr:uid="{DBA5F4F9-F8FD-4525-AB34-FFFB2032AB18}"/>
    <cellStyle name="Normale 25" xfId="11" xr:uid="{D2095247-B965-4B14-A7C1-21B8B34C3510}"/>
    <cellStyle name="Normale 26" xfId="12" xr:uid="{EC4544D0-3BAF-46D6-B1E2-C62D3E3AE9E3}"/>
    <cellStyle name="Normale 27" xfId="13" xr:uid="{B297E5EF-C718-4800-ABBA-A124ACC9D5CE}"/>
    <cellStyle name="Normale 28" xfId="14" xr:uid="{F20AC0BC-9B80-4A10-8CAA-E4162791D63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142875</xdr:rowOff>
    </xdr:from>
    <xdr:to>
      <xdr:col>6</xdr:col>
      <xdr:colOff>666750</xdr:colOff>
      <xdr:row>4</xdr:row>
      <xdr:rowOff>38100</xdr:rowOff>
    </xdr:to>
    <xdr:pic>
      <xdr:nvPicPr>
        <xdr:cNvPr id="7776" name="Immagine 2" descr="puffo carabiniere.jpg">
          <a:extLst>
            <a:ext uri="{FF2B5EF4-FFF2-40B4-BE49-F238E27FC236}">
              <a16:creationId xmlns:a16="http://schemas.microsoft.com/office/drawing/2014/main" id="{0CF8A742-81B1-0450-267D-BF6B44BBA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42875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0</xdr:row>
      <xdr:rowOff>142875</xdr:rowOff>
    </xdr:from>
    <xdr:to>
      <xdr:col>8</xdr:col>
      <xdr:colOff>628650</xdr:colOff>
      <xdr:row>0</xdr:row>
      <xdr:rowOff>142875</xdr:rowOff>
    </xdr:to>
    <xdr:pic>
      <xdr:nvPicPr>
        <xdr:cNvPr id="8799" name="Immagine 2" descr="puffo carabiniere.jpg">
          <a:extLst>
            <a:ext uri="{FF2B5EF4-FFF2-40B4-BE49-F238E27FC236}">
              <a16:creationId xmlns:a16="http://schemas.microsoft.com/office/drawing/2014/main" id="{76B0B83E-BBC1-02B0-B0A1-89264038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142875"/>
          <a:ext cx="552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0</xdr:row>
      <xdr:rowOff>142875</xdr:rowOff>
    </xdr:from>
    <xdr:to>
      <xdr:col>8</xdr:col>
      <xdr:colOff>628650</xdr:colOff>
      <xdr:row>0</xdr:row>
      <xdr:rowOff>142875</xdr:rowOff>
    </xdr:to>
    <xdr:pic>
      <xdr:nvPicPr>
        <xdr:cNvPr id="9747" name="Immagine 2" descr="puffo carabiniere.jpg">
          <a:extLst>
            <a:ext uri="{FF2B5EF4-FFF2-40B4-BE49-F238E27FC236}">
              <a16:creationId xmlns:a16="http://schemas.microsoft.com/office/drawing/2014/main" id="{58902D64-99B5-1592-111B-048FDD4CC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2875"/>
          <a:ext cx="552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38101</xdr:colOff>
      <xdr:row>0</xdr:row>
      <xdr:rowOff>66675</xdr:rowOff>
    </xdr:from>
    <xdr:to>
      <xdr:col>8</xdr:col>
      <xdr:colOff>727755</xdr:colOff>
      <xdr:row>4</xdr:row>
      <xdr:rowOff>130548</xdr:rowOff>
    </xdr:to>
    <xdr:pic>
      <xdr:nvPicPr>
        <xdr:cNvPr id="3" name="Immagine 2" descr="alfa ok.jpg">
          <a:extLst>
            <a:ext uri="{FF2B5EF4-FFF2-40B4-BE49-F238E27FC236}">
              <a16:creationId xmlns:a16="http://schemas.microsoft.com/office/drawing/2014/main" id="{1CD4EC3B-C714-0166-E7A5-433DAE656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1" y="66675"/>
          <a:ext cx="689654" cy="759198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1</xdr:row>
      <xdr:rowOff>28575</xdr:rowOff>
    </xdr:from>
    <xdr:to>
      <xdr:col>8</xdr:col>
      <xdr:colOff>752475</xdr:colOff>
      <xdr:row>4</xdr:row>
      <xdr:rowOff>85725</xdr:rowOff>
    </xdr:to>
    <xdr:pic>
      <xdr:nvPicPr>
        <xdr:cNvPr id="11734" name="Immagine 5" descr="anc.jpg">
          <a:extLst>
            <a:ext uri="{FF2B5EF4-FFF2-40B4-BE49-F238E27FC236}">
              <a16:creationId xmlns:a16="http://schemas.microsoft.com/office/drawing/2014/main" id="{AC68B87F-2861-435D-C0FC-8972353E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0500"/>
          <a:ext cx="7620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1</xdr:row>
      <xdr:rowOff>28575</xdr:rowOff>
    </xdr:from>
    <xdr:to>
      <xdr:col>8</xdr:col>
      <xdr:colOff>781050</xdr:colOff>
      <xdr:row>4</xdr:row>
      <xdr:rowOff>114300</xdr:rowOff>
    </xdr:to>
    <xdr:pic>
      <xdr:nvPicPr>
        <xdr:cNvPr id="12734" name="Immagine 5" descr="anc.jpg">
          <a:extLst>
            <a:ext uri="{FF2B5EF4-FFF2-40B4-BE49-F238E27FC236}">
              <a16:creationId xmlns:a16="http://schemas.microsoft.com/office/drawing/2014/main" id="{D51D7F18-368B-20BE-E29C-A0EBC2EAE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200025"/>
          <a:ext cx="7905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1</xdr:row>
      <xdr:rowOff>28575</xdr:rowOff>
    </xdr:from>
    <xdr:to>
      <xdr:col>8</xdr:col>
      <xdr:colOff>619125</xdr:colOff>
      <xdr:row>4</xdr:row>
      <xdr:rowOff>85725</xdr:rowOff>
    </xdr:to>
    <xdr:pic>
      <xdr:nvPicPr>
        <xdr:cNvPr id="13725" name="Immagine 5" descr="anc.jpg">
          <a:extLst>
            <a:ext uri="{FF2B5EF4-FFF2-40B4-BE49-F238E27FC236}">
              <a16:creationId xmlns:a16="http://schemas.microsoft.com/office/drawing/2014/main" id="{7D9958A7-66AE-DDEC-8A3D-F310254E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00025"/>
          <a:ext cx="7524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219075</xdr:colOff>
      <xdr:row>0</xdr:row>
      <xdr:rowOff>152400</xdr:rowOff>
    </xdr:from>
    <xdr:to>
      <xdr:col>8</xdr:col>
      <xdr:colOff>685800</xdr:colOff>
      <xdr:row>3</xdr:row>
      <xdr:rowOff>95250</xdr:rowOff>
    </xdr:to>
    <xdr:pic>
      <xdr:nvPicPr>
        <xdr:cNvPr id="14688" name="Immagine 2" descr="logofra04012019.png">
          <a:extLst>
            <a:ext uri="{FF2B5EF4-FFF2-40B4-BE49-F238E27FC236}">
              <a16:creationId xmlns:a16="http://schemas.microsoft.com/office/drawing/2014/main" id="{F53F20D5-85E7-C5BF-72A6-8F6F221D3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152400"/>
          <a:ext cx="4667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0</xdr:row>
      <xdr:rowOff>152400</xdr:rowOff>
    </xdr:from>
    <xdr:to>
      <xdr:col>8</xdr:col>
      <xdr:colOff>619125</xdr:colOff>
      <xdr:row>3</xdr:row>
      <xdr:rowOff>95250</xdr:rowOff>
    </xdr:to>
    <xdr:pic>
      <xdr:nvPicPr>
        <xdr:cNvPr id="15684" name="Immagine 2" descr="logofra04012019.png">
          <a:extLst>
            <a:ext uri="{FF2B5EF4-FFF2-40B4-BE49-F238E27FC236}">
              <a16:creationId xmlns:a16="http://schemas.microsoft.com/office/drawing/2014/main" id="{19A3CF09-6457-D8C4-CF8E-9963247E1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152400"/>
          <a:ext cx="4667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38100</xdr:rowOff>
    </xdr:from>
    <xdr:to>
      <xdr:col>2</xdr:col>
      <xdr:colOff>361950</xdr:colOff>
      <xdr:row>3</xdr:row>
      <xdr:rowOff>152400</xdr:rowOff>
    </xdr:to>
    <xdr:pic>
      <xdr:nvPicPr>
        <xdr:cNvPr id="21761" name="Immagine 1">
          <a:extLst>
            <a:ext uri="{FF2B5EF4-FFF2-40B4-BE49-F238E27FC236}">
              <a16:creationId xmlns:a16="http://schemas.microsoft.com/office/drawing/2014/main" id="{20FEF6C0-6BA4-11A6-BC50-7A75EA99F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8100"/>
          <a:ext cx="6762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</xdr:colOff>
      <xdr:row>14</xdr:row>
      <xdr:rowOff>28575</xdr:rowOff>
    </xdr:from>
    <xdr:to>
      <xdr:col>7</xdr:col>
      <xdr:colOff>476250</xdr:colOff>
      <xdr:row>15</xdr:row>
      <xdr:rowOff>9525</xdr:rowOff>
    </xdr:to>
    <xdr:pic>
      <xdr:nvPicPr>
        <xdr:cNvPr id="21762" name="Immagine 1">
          <a:extLst>
            <a:ext uri="{FF2B5EF4-FFF2-40B4-BE49-F238E27FC236}">
              <a16:creationId xmlns:a16="http://schemas.microsoft.com/office/drawing/2014/main" id="{11B4ABBC-80CD-EF91-8E65-82F21A1FB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24860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409575</xdr:colOff>
      <xdr:row>1</xdr:row>
      <xdr:rowOff>9525</xdr:rowOff>
    </xdr:from>
    <xdr:to>
      <xdr:col>11</xdr:col>
      <xdr:colOff>247650</xdr:colOff>
      <xdr:row>10</xdr:row>
      <xdr:rowOff>85725</xdr:rowOff>
    </xdr:to>
    <xdr:pic>
      <xdr:nvPicPr>
        <xdr:cNvPr id="22644" name="Immagine 1">
          <a:extLst>
            <a:ext uri="{FF2B5EF4-FFF2-40B4-BE49-F238E27FC236}">
              <a16:creationId xmlns:a16="http://schemas.microsoft.com/office/drawing/2014/main" id="{A4C04B4E-C313-2891-7C80-1DF8B795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209550"/>
          <a:ext cx="166687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1133475</xdr:colOff>
      <xdr:row>16</xdr:row>
      <xdr:rowOff>114300</xdr:rowOff>
    </xdr:from>
    <xdr:to>
      <xdr:col>7</xdr:col>
      <xdr:colOff>3619500</xdr:colOff>
      <xdr:row>30</xdr:row>
      <xdr:rowOff>57150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id="{6AB09184-DB0F-F26C-7202-644F0ACCC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62950" y="2857500"/>
          <a:ext cx="2486025" cy="2209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1133475</xdr:colOff>
      <xdr:row>17</xdr:row>
      <xdr:rowOff>114300</xdr:rowOff>
    </xdr:from>
    <xdr:to>
      <xdr:col>7</xdr:col>
      <xdr:colOff>3895725</xdr:colOff>
      <xdr:row>33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9029F92-ADC9-8004-E20F-9A3E2515D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62950" y="2857500"/>
          <a:ext cx="2762250" cy="255270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1133476</xdr:colOff>
      <xdr:row>18</xdr:row>
      <xdr:rowOff>114300</xdr:rowOff>
    </xdr:from>
    <xdr:to>
      <xdr:col>7</xdr:col>
      <xdr:colOff>3876676</xdr:colOff>
      <xdr:row>34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C89B08-3DC3-012F-0D1D-9AB06917C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62951" y="3019425"/>
          <a:ext cx="2743200" cy="255270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4181475</xdr:colOff>
      <xdr:row>500</xdr:row>
      <xdr:rowOff>28575</xdr:rowOff>
    </xdr:from>
    <xdr:to>
      <xdr:col>6</xdr:col>
      <xdr:colOff>4457700</xdr:colOff>
      <xdr:row>501</xdr:row>
      <xdr:rowOff>76200</xdr:rowOff>
    </xdr:to>
    <xdr:pic>
      <xdr:nvPicPr>
        <xdr:cNvPr id="21187" name="Immagine 1">
          <a:extLst>
            <a:ext uri="{FF2B5EF4-FFF2-40B4-BE49-F238E27FC236}">
              <a16:creationId xmlns:a16="http://schemas.microsoft.com/office/drawing/2014/main" id="{B944E09C-0E15-4826-B536-D922A64AA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7875" y="128558925"/>
          <a:ext cx="2762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1019175</xdr:colOff>
      <xdr:row>500</xdr:row>
      <xdr:rowOff>28575</xdr:rowOff>
    </xdr:from>
    <xdr:to>
      <xdr:col>6</xdr:col>
      <xdr:colOff>1295400</xdr:colOff>
      <xdr:row>501</xdr:row>
      <xdr:rowOff>76200</xdr:rowOff>
    </xdr:to>
    <xdr:pic>
      <xdr:nvPicPr>
        <xdr:cNvPr id="21188" name="Immagine 1">
          <a:extLst>
            <a:ext uri="{FF2B5EF4-FFF2-40B4-BE49-F238E27FC236}">
              <a16:creationId xmlns:a16="http://schemas.microsoft.com/office/drawing/2014/main" id="{754EAE7C-7840-C9D5-D724-EB0BD7E74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5575" y="128558925"/>
          <a:ext cx="2762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133350</xdr:colOff>
      <xdr:row>533</xdr:row>
      <xdr:rowOff>0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610A38BC-A1B5-5FC4-81D0-66C6B8688D2C}"/>
            </a:ext>
          </a:extLst>
        </xdr:cNvPr>
        <xdr:cNvSpPr txBox="1"/>
      </xdr:nvSpPr>
      <xdr:spPr>
        <a:xfrm>
          <a:off x="3733800" y="13254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3</xdr:col>
      <xdr:colOff>133350</xdr:colOff>
      <xdr:row>536</xdr:row>
      <xdr:rowOff>0</xdr:rowOff>
    </xdr:from>
    <xdr:ext cx="184731" cy="264560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72C46CE7-3DFB-45A8-9855-C00B6F0FD480}"/>
            </a:ext>
          </a:extLst>
        </xdr:cNvPr>
        <xdr:cNvSpPr txBox="1"/>
      </xdr:nvSpPr>
      <xdr:spPr>
        <a:xfrm>
          <a:off x="3733800" y="139293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27</xdr:row>
      <xdr:rowOff>0</xdr:rowOff>
    </xdr:from>
    <xdr:ext cx="184731" cy="264560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EB487793-3E26-BD5B-2F27-4A86B9720163}"/>
            </a:ext>
          </a:extLst>
        </xdr:cNvPr>
        <xdr:cNvSpPr txBox="1"/>
      </xdr:nvSpPr>
      <xdr:spPr>
        <a:xfrm>
          <a:off x="3733800" y="13756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  <xdr:twoCellAnchor editAs="oneCell">
    <xdr:from>
      <xdr:col>8</xdr:col>
      <xdr:colOff>333375</xdr:colOff>
      <xdr:row>0</xdr:row>
      <xdr:rowOff>66675</xdr:rowOff>
    </xdr:from>
    <xdr:to>
      <xdr:col>8</xdr:col>
      <xdr:colOff>828675</xdr:colOff>
      <xdr:row>1</xdr:row>
      <xdr:rowOff>247650</xdr:rowOff>
    </xdr:to>
    <xdr:pic>
      <xdr:nvPicPr>
        <xdr:cNvPr id="28720" name="Immagine 1">
          <a:extLst>
            <a:ext uri="{FF2B5EF4-FFF2-40B4-BE49-F238E27FC236}">
              <a16:creationId xmlns:a16="http://schemas.microsoft.com/office/drawing/2014/main" id="{4AF00101-8764-0FF6-0718-2D5138130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450" y="66675"/>
          <a:ext cx="495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57150</xdr:rowOff>
    </xdr:from>
    <xdr:to>
      <xdr:col>1</xdr:col>
      <xdr:colOff>333375</xdr:colOff>
      <xdr:row>1</xdr:row>
      <xdr:rowOff>238125</xdr:rowOff>
    </xdr:to>
    <xdr:pic>
      <xdr:nvPicPr>
        <xdr:cNvPr id="28721" name="Immagine 1">
          <a:extLst>
            <a:ext uri="{FF2B5EF4-FFF2-40B4-BE49-F238E27FC236}">
              <a16:creationId xmlns:a16="http://schemas.microsoft.com/office/drawing/2014/main" id="{766ADD51-B2A8-3DA4-3887-BCBA6F7B2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7150"/>
          <a:ext cx="495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6962-2E99-4BD3-A4A5-C0A340DB0A59}">
  <sheetPr>
    <tabColor indexed="35"/>
  </sheetPr>
  <dimension ref="A2:G28"/>
  <sheetViews>
    <sheetView topLeftCell="B1" workbookViewId="0">
      <selection activeCell="C8" sqref="C8:G28"/>
    </sheetView>
  </sheetViews>
  <sheetFormatPr defaultRowHeight="12.75" x14ac:dyDescent="0.2"/>
  <cols>
    <col min="1" max="1" width="3" customWidth="1"/>
    <col min="2" max="2" width="1.85546875" customWidth="1"/>
    <col min="3" max="3" width="10.140625" bestFit="1" customWidth="1"/>
    <col min="4" max="4" width="1.5703125" customWidth="1"/>
    <col min="5" max="5" width="63.85546875" customWidth="1"/>
    <col min="6" max="6" width="1.5703125" customWidth="1"/>
    <col min="7" max="7" width="18.28515625" customWidth="1"/>
  </cols>
  <sheetData>
    <row r="2" spans="1:7" ht="15" x14ac:dyDescent="0.25">
      <c r="D2" s="301" t="s">
        <v>0</v>
      </c>
      <c r="E2" s="302"/>
      <c r="F2" s="2"/>
    </row>
    <row r="5" spans="1:7" ht="15" x14ac:dyDescent="0.25">
      <c r="C5" s="9" t="s">
        <v>1</v>
      </c>
      <c r="E5" s="9" t="s">
        <v>2</v>
      </c>
      <c r="F5" s="2"/>
      <c r="G5" s="9" t="s">
        <v>3</v>
      </c>
    </row>
    <row r="6" spans="1:7" x14ac:dyDescent="0.2">
      <c r="C6" s="2"/>
      <c r="E6" s="2"/>
      <c r="F6" s="2"/>
      <c r="G6" s="2"/>
    </row>
    <row r="8" spans="1:7" x14ac:dyDescent="0.2">
      <c r="A8" s="5">
        <v>1</v>
      </c>
      <c r="C8" s="3">
        <v>37653</v>
      </c>
      <c r="E8" s="4" t="s">
        <v>6</v>
      </c>
      <c r="G8" s="5" t="s">
        <v>5</v>
      </c>
    </row>
    <row r="9" spans="1:7" x14ac:dyDescent="0.2">
      <c r="A9" s="2"/>
      <c r="G9" s="2"/>
    </row>
    <row r="10" spans="1:7" x14ac:dyDescent="0.2">
      <c r="A10" s="5">
        <v>2</v>
      </c>
      <c r="C10" s="3">
        <v>37703</v>
      </c>
      <c r="E10" s="4" t="s">
        <v>7</v>
      </c>
      <c r="G10" s="5" t="s">
        <v>4</v>
      </c>
    </row>
    <row r="11" spans="1:7" x14ac:dyDescent="0.2">
      <c r="A11" s="2"/>
      <c r="G11" s="2"/>
    </row>
    <row r="12" spans="1:7" x14ac:dyDescent="0.2">
      <c r="A12" s="5">
        <v>3</v>
      </c>
      <c r="C12" s="3">
        <v>37713</v>
      </c>
      <c r="E12" s="4" t="s">
        <v>8</v>
      </c>
      <c r="G12" s="5" t="s">
        <v>9</v>
      </c>
    </row>
    <row r="13" spans="1:7" x14ac:dyDescent="0.2">
      <c r="A13" s="2"/>
      <c r="C13" s="1"/>
      <c r="G13" s="2"/>
    </row>
    <row r="14" spans="1:7" x14ac:dyDescent="0.2">
      <c r="A14" s="5">
        <v>4</v>
      </c>
      <c r="C14" s="3">
        <v>37722</v>
      </c>
      <c r="E14" s="4" t="s">
        <v>12</v>
      </c>
      <c r="G14" s="5" t="s">
        <v>13</v>
      </c>
    </row>
    <row r="15" spans="1:7" x14ac:dyDescent="0.2">
      <c r="A15" s="2"/>
      <c r="G15" s="2"/>
    </row>
    <row r="16" spans="1:7" x14ac:dyDescent="0.2">
      <c r="A16" s="5">
        <v>5</v>
      </c>
      <c r="C16" s="3">
        <v>37724</v>
      </c>
      <c r="E16" s="4" t="s">
        <v>11</v>
      </c>
      <c r="G16" s="5" t="s">
        <v>10</v>
      </c>
    </row>
    <row r="17" spans="1:7" x14ac:dyDescent="0.2">
      <c r="A17" s="2"/>
      <c r="G17" s="2"/>
    </row>
    <row r="18" spans="1:7" x14ac:dyDescent="0.2">
      <c r="A18" s="5">
        <v>6</v>
      </c>
      <c r="C18" s="3">
        <v>37765</v>
      </c>
      <c r="E18" s="4" t="s">
        <v>14</v>
      </c>
      <c r="G18" s="5" t="s">
        <v>15</v>
      </c>
    </row>
    <row r="19" spans="1:7" x14ac:dyDescent="0.2">
      <c r="A19" s="2"/>
      <c r="G19" s="2"/>
    </row>
    <row r="20" spans="1:7" x14ac:dyDescent="0.2">
      <c r="A20" s="5">
        <v>7</v>
      </c>
      <c r="C20" s="3">
        <v>37792</v>
      </c>
      <c r="E20" s="4" t="s">
        <v>16</v>
      </c>
      <c r="G20" s="5" t="s">
        <v>15</v>
      </c>
    </row>
    <row r="21" spans="1:7" x14ac:dyDescent="0.2">
      <c r="A21" s="2"/>
      <c r="G21" s="2"/>
    </row>
    <row r="22" spans="1:7" x14ac:dyDescent="0.2">
      <c r="A22" s="5">
        <v>8</v>
      </c>
      <c r="C22" s="3">
        <v>37912</v>
      </c>
      <c r="E22" s="4" t="s">
        <v>17</v>
      </c>
      <c r="G22" s="5" t="s">
        <v>18</v>
      </c>
    </row>
    <row r="23" spans="1:7" x14ac:dyDescent="0.2">
      <c r="A23" s="2"/>
      <c r="G23" s="2"/>
    </row>
    <row r="24" spans="1:7" x14ac:dyDescent="0.2">
      <c r="A24" s="5">
        <v>9</v>
      </c>
      <c r="C24" s="3">
        <v>37961</v>
      </c>
      <c r="E24" s="4" t="s">
        <v>19</v>
      </c>
      <c r="G24" s="5" t="s">
        <v>20</v>
      </c>
    </row>
    <row r="25" spans="1:7" x14ac:dyDescent="0.2">
      <c r="A25" s="2"/>
      <c r="G25" s="2"/>
    </row>
    <row r="26" spans="1:7" x14ac:dyDescent="0.2">
      <c r="A26" s="5">
        <v>10</v>
      </c>
      <c r="C26" s="3">
        <v>37962</v>
      </c>
      <c r="E26" s="4" t="s">
        <v>21</v>
      </c>
      <c r="G26" s="5" t="s">
        <v>20</v>
      </c>
    </row>
    <row r="27" spans="1:7" x14ac:dyDescent="0.2">
      <c r="A27" s="2"/>
      <c r="G27" s="2"/>
    </row>
    <row r="28" spans="1:7" x14ac:dyDescent="0.2">
      <c r="A28" s="5">
        <v>11</v>
      </c>
      <c r="C28" s="3">
        <v>37975</v>
      </c>
      <c r="E28" s="4" t="s">
        <v>22</v>
      </c>
      <c r="G28" s="5" t="s">
        <v>23</v>
      </c>
    </row>
  </sheetData>
  <mergeCells count="1">
    <mergeCell ref="D2:E2"/>
  </mergeCells>
  <phoneticPr fontId="0" type="noConversion"/>
  <pageMargins left="0.19" right="0.22" top="0.67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2FC4-0D6C-43F7-9D5F-F0EA1879C2F6}">
  <sheetPr>
    <tabColor indexed="34"/>
  </sheetPr>
  <dimension ref="A1:G54"/>
  <sheetViews>
    <sheetView workbookViewId="0">
      <pane ySplit="5" topLeftCell="A21" activePane="bottomLeft" state="frozen"/>
      <selection pane="bottomLeft" activeCell="A8" sqref="A8:G52"/>
    </sheetView>
  </sheetViews>
  <sheetFormatPr defaultRowHeight="12.75" x14ac:dyDescent="0.2"/>
  <cols>
    <col min="1" max="1" width="3" customWidth="1"/>
    <col min="2" max="2" width="1.85546875" customWidth="1"/>
    <col min="3" max="3" width="10.140625" bestFit="1" customWidth="1"/>
    <col min="4" max="4" width="1.5703125" customWidth="1"/>
    <col min="5" max="5" width="63.85546875" customWidth="1"/>
    <col min="6" max="6" width="1.5703125" customWidth="1"/>
    <col min="7" max="7" width="18.28515625" customWidth="1"/>
  </cols>
  <sheetData>
    <row r="1" spans="1:7" ht="13.5" thickBot="1" x14ac:dyDescent="0.25"/>
    <row r="2" spans="1:7" ht="15.75" thickBot="1" x14ac:dyDescent="0.3">
      <c r="D2" s="303" t="s">
        <v>24</v>
      </c>
      <c r="E2" s="304"/>
    </row>
    <row r="4" spans="1:7" ht="13.5" thickBot="1" x14ac:dyDescent="0.25"/>
    <row r="5" spans="1:7" ht="15.75" thickBot="1" x14ac:dyDescent="0.3">
      <c r="C5" s="8" t="s">
        <v>1</v>
      </c>
      <c r="E5" s="8" t="s">
        <v>2</v>
      </c>
      <c r="F5" s="2"/>
      <c r="G5" s="8" t="s">
        <v>3</v>
      </c>
    </row>
    <row r="8" spans="1:7" x14ac:dyDescent="0.2">
      <c r="A8" s="5">
        <v>1</v>
      </c>
      <c r="C8" s="3">
        <v>38011</v>
      </c>
      <c r="E8" s="4" t="s">
        <v>25</v>
      </c>
      <c r="G8" s="5" t="s">
        <v>26</v>
      </c>
    </row>
    <row r="9" spans="1:7" x14ac:dyDescent="0.2">
      <c r="A9" s="2"/>
    </row>
    <row r="10" spans="1:7" x14ac:dyDescent="0.2">
      <c r="A10" s="5">
        <v>2</v>
      </c>
      <c r="C10" s="3">
        <v>38066</v>
      </c>
      <c r="E10" s="4" t="s">
        <v>27</v>
      </c>
      <c r="G10" s="5" t="s">
        <v>28</v>
      </c>
    </row>
    <row r="11" spans="1:7" x14ac:dyDescent="0.2">
      <c r="A11" s="2"/>
    </row>
    <row r="12" spans="1:7" x14ac:dyDescent="0.2">
      <c r="A12" s="5">
        <v>3</v>
      </c>
      <c r="C12" s="3">
        <v>38067</v>
      </c>
      <c r="E12" s="4" t="s">
        <v>29</v>
      </c>
      <c r="G12" s="5" t="s">
        <v>30</v>
      </c>
    </row>
    <row r="13" spans="1:7" x14ac:dyDescent="0.2">
      <c r="A13" s="2"/>
    </row>
    <row r="14" spans="1:7" x14ac:dyDescent="0.2">
      <c r="A14" s="5">
        <v>4</v>
      </c>
      <c r="C14" s="3">
        <v>38073</v>
      </c>
      <c r="E14" s="4" t="s">
        <v>31</v>
      </c>
      <c r="G14" s="5" t="s">
        <v>32</v>
      </c>
    </row>
    <row r="15" spans="1:7" x14ac:dyDescent="0.2">
      <c r="A15" s="2"/>
    </row>
    <row r="16" spans="1:7" x14ac:dyDescent="0.2">
      <c r="A16" s="5">
        <v>5</v>
      </c>
      <c r="C16" s="3">
        <v>38079</v>
      </c>
      <c r="E16" s="4" t="s">
        <v>33</v>
      </c>
      <c r="G16" s="5" t="s">
        <v>34</v>
      </c>
    </row>
    <row r="17" spans="1:7" x14ac:dyDescent="0.2">
      <c r="A17" s="2"/>
    </row>
    <row r="18" spans="1:7" x14ac:dyDescent="0.2">
      <c r="A18" s="5">
        <v>6</v>
      </c>
      <c r="C18" s="3">
        <v>38086</v>
      </c>
      <c r="E18" s="4" t="s">
        <v>35</v>
      </c>
      <c r="G18" s="5">
        <v>20.149999999999999</v>
      </c>
    </row>
    <row r="19" spans="1:7" x14ac:dyDescent="0.2">
      <c r="A19" s="2"/>
    </row>
    <row r="20" spans="1:7" x14ac:dyDescent="0.2">
      <c r="A20" s="5">
        <v>7</v>
      </c>
      <c r="C20" s="3">
        <v>38109</v>
      </c>
      <c r="E20" s="4" t="s">
        <v>36</v>
      </c>
      <c r="G20" s="5" t="s">
        <v>37</v>
      </c>
    </row>
    <row r="21" spans="1:7" x14ac:dyDescent="0.2">
      <c r="A21" s="2"/>
    </row>
    <row r="22" spans="1:7" x14ac:dyDescent="0.2">
      <c r="A22" s="5">
        <v>8</v>
      </c>
      <c r="C22" s="3">
        <v>38114</v>
      </c>
      <c r="E22" s="4" t="s">
        <v>33</v>
      </c>
      <c r="G22" s="5" t="s">
        <v>34</v>
      </c>
    </row>
    <row r="23" spans="1:7" x14ac:dyDescent="0.2">
      <c r="A23" s="2"/>
    </row>
    <row r="24" spans="1:7" x14ac:dyDescent="0.2">
      <c r="A24" s="5">
        <v>9</v>
      </c>
      <c r="C24" s="3">
        <v>38131</v>
      </c>
      <c r="E24" s="4" t="s">
        <v>38</v>
      </c>
      <c r="G24" s="5" t="s">
        <v>15</v>
      </c>
    </row>
    <row r="25" spans="1:7" x14ac:dyDescent="0.2">
      <c r="A25" s="2"/>
    </row>
    <row r="26" spans="1:7" x14ac:dyDescent="0.2">
      <c r="A26" s="5">
        <v>10</v>
      </c>
      <c r="C26" s="3">
        <v>38142</v>
      </c>
      <c r="E26" s="4" t="s">
        <v>33</v>
      </c>
      <c r="G26" s="5" t="s">
        <v>34</v>
      </c>
    </row>
    <row r="27" spans="1:7" x14ac:dyDescent="0.2">
      <c r="A27" s="2"/>
    </row>
    <row r="28" spans="1:7" x14ac:dyDescent="0.2">
      <c r="A28" s="5">
        <v>11</v>
      </c>
      <c r="C28" s="3">
        <v>38143</v>
      </c>
      <c r="E28" s="4" t="s">
        <v>39</v>
      </c>
      <c r="G28" s="5" t="s">
        <v>40</v>
      </c>
    </row>
    <row r="29" spans="1:7" x14ac:dyDescent="0.2">
      <c r="A29" s="2"/>
      <c r="G29" s="2"/>
    </row>
    <row r="30" spans="1:7" x14ac:dyDescent="0.2">
      <c r="A30" s="5">
        <v>12</v>
      </c>
      <c r="C30" s="3">
        <v>38144</v>
      </c>
      <c r="E30" s="4" t="s">
        <v>39</v>
      </c>
      <c r="G30" s="5" t="s">
        <v>40</v>
      </c>
    </row>
    <row r="31" spans="1:7" x14ac:dyDescent="0.2">
      <c r="A31" s="2"/>
    </row>
    <row r="32" spans="1:7" x14ac:dyDescent="0.2">
      <c r="A32" s="5">
        <v>13</v>
      </c>
      <c r="C32" s="3">
        <v>38158</v>
      </c>
      <c r="E32" s="4" t="s">
        <v>41</v>
      </c>
      <c r="G32" s="5" t="s">
        <v>15</v>
      </c>
    </row>
    <row r="33" spans="1:7" x14ac:dyDescent="0.2">
      <c r="A33" s="2"/>
    </row>
    <row r="34" spans="1:7" x14ac:dyDescent="0.2">
      <c r="A34" s="5">
        <v>14</v>
      </c>
      <c r="C34" s="3">
        <v>38161</v>
      </c>
      <c r="E34" s="4" t="s">
        <v>42</v>
      </c>
      <c r="G34" s="5" t="s">
        <v>43</v>
      </c>
    </row>
    <row r="35" spans="1:7" x14ac:dyDescent="0.2">
      <c r="A35" s="2"/>
    </row>
    <row r="36" spans="1:7" x14ac:dyDescent="0.2">
      <c r="A36" s="5">
        <v>15</v>
      </c>
      <c r="C36" s="3">
        <v>38170</v>
      </c>
      <c r="E36" s="4" t="s">
        <v>36</v>
      </c>
      <c r="G36" s="5" t="s">
        <v>44</v>
      </c>
    </row>
    <row r="37" spans="1:7" x14ac:dyDescent="0.2">
      <c r="A37" s="2"/>
    </row>
    <row r="38" spans="1:7" x14ac:dyDescent="0.2">
      <c r="A38" s="5">
        <v>16</v>
      </c>
      <c r="C38" s="6">
        <v>38187</v>
      </c>
      <c r="E38" s="4" t="s">
        <v>45</v>
      </c>
      <c r="G38" s="5" t="s">
        <v>46</v>
      </c>
    </row>
    <row r="39" spans="1:7" x14ac:dyDescent="0.2">
      <c r="A39" s="2"/>
    </row>
    <row r="40" spans="1:7" x14ac:dyDescent="0.2">
      <c r="A40" s="5">
        <v>17</v>
      </c>
      <c r="C40" s="3">
        <v>38191</v>
      </c>
      <c r="E40" s="4" t="s">
        <v>47</v>
      </c>
      <c r="G40" s="5" t="s">
        <v>48</v>
      </c>
    </row>
    <row r="41" spans="1:7" x14ac:dyDescent="0.2">
      <c r="A41" s="2"/>
    </row>
    <row r="42" spans="1:7" x14ac:dyDescent="0.2">
      <c r="A42" s="5">
        <v>18</v>
      </c>
      <c r="C42" s="3">
        <v>38198</v>
      </c>
      <c r="E42" s="4" t="s">
        <v>47</v>
      </c>
      <c r="G42" s="5" t="s">
        <v>49</v>
      </c>
    </row>
    <row r="43" spans="1:7" x14ac:dyDescent="0.2">
      <c r="A43" s="2"/>
    </row>
    <row r="44" spans="1:7" x14ac:dyDescent="0.2">
      <c r="A44" s="5">
        <v>19</v>
      </c>
      <c r="C44" s="3">
        <v>38296</v>
      </c>
      <c r="E44" s="4" t="s">
        <v>33</v>
      </c>
      <c r="G44" s="5" t="s">
        <v>34</v>
      </c>
    </row>
    <row r="45" spans="1:7" x14ac:dyDescent="0.2">
      <c r="A45" s="2"/>
      <c r="C45" s="1"/>
      <c r="G45" s="2"/>
    </row>
    <row r="46" spans="1:7" x14ac:dyDescent="0.2">
      <c r="A46" s="5">
        <v>20</v>
      </c>
      <c r="C46" s="3">
        <v>38305</v>
      </c>
      <c r="E46" s="4" t="s">
        <v>25</v>
      </c>
      <c r="G46" s="5" t="s">
        <v>26</v>
      </c>
    </row>
    <row r="47" spans="1:7" x14ac:dyDescent="0.2">
      <c r="A47" s="2"/>
    </row>
    <row r="48" spans="1:7" x14ac:dyDescent="0.2">
      <c r="A48" s="5">
        <v>21</v>
      </c>
      <c r="C48" s="3">
        <v>38324</v>
      </c>
      <c r="E48" s="4" t="s">
        <v>33</v>
      </c>
      <c r="G48" s="5" t="s">
        <v>34</v>
      </c>
    </row>
    <row r="49" spans="1:7" x14ac:dyDescent="0.2">
      <c r="A49" s="2"/>
    </row>
    <row r="50" spans="1:7" x14ac:dyDescent="0.2">
      <c r="A50" s="5">
        <v>22</v>
      </c>
      <c r="C50" s="3">
        <v>38329</v>
      </c>
      <c r="E50" s="4" t="s">
        <v>50</v>
      </c>
      <c r="G50" s="5" t="s">
        <v>51</v>
      </c>
    </row>
    <row r="51" spans="1:7" x14ac:dyDescent="0.2">
      <c r="A51" s="2"/>
    </row>
    <row r="52" spans="1:7" x14ac:dyDescent="0.2">
      <c r="A52" s="5">
        <v>23</v>
      </c>
      <c r="C52" s="3">
        <v>38332</v>
      </c>
      <c r="E52" s="4" t="s">
        <v>52</v>
      </c>
      <c r="G52" s="5" t="s">
        <v>53</v>
      </c>
    </row>
    <row r="54" spans="1:7" x14ac:dyDescent="0.2">
      <c r="C54" s="1"/>
      <c r="G54" s="2"/>
    </row>
  </sheetData>
  <mergeCells count="1">
    <mergeCell ref="D2:E2"/>
  </mergeCells>
  <phoneticPr fontId="0" type="noConversion"/>
  <pageMargins left="0.27" right="0.17" top="0.24" bottom="0.2" header="0.15" footer="0.14000000000000001"/>
  <pageSetup paperSize="9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924F-3AD0-4D0E-9B34-23F6257D727F}">
  <sheetPr>
    <tabColor indexed="10"/>
  </sheetPr>
  <dimension ref="A1:G68"/>
  <sheetViews>
    <sheetView workbookViewId="0">
      <pane ySplit="5" topLeftCell="A30" activePane="bottomLeft" state="frozen"/>
      <selection pane="bottomLeft" activeCell="A8" sqref="A8:G66"/>
    </sheetView>
  </sheetViews>
  <sheetFormatPr defaultRowHeight="12.75" x14ac:dyDescent="0.2"/>
  <cols>
    <col min="1" max="1" width="2.85546875" customWidth="1"/>
    <col min="2" max="2" width="1.85546875" customWidth="1"/>
    <col min="3" max="3" width="10.140625" bestFit="1" customWidth="1"/>
    <col min="4" max="4" width="1.5703125" customWidth="1"/>
    <col min="5" max="5" width="63.85546875" customWidth="1"/>
    <col min="6" max="6" width="1.5703125" customWidth="1"/>
    <col min="7" max="7" width="18.28515625" customWidth="1"/>
  </cols>
  <sheetData>
    <row r="1" spans="1:7" ht="13.5" thickBot="1" x14ac:dyDescent="0.25"/>
    <row r="2" spans="1:7" ht="15.75" thickBot="1" x14ac:dyDescent="0.3">
      <c r="D2" s="303" t="s">
        <v>54</v>
      </c>
      <c r="E2" s="304"/>
    </row>
    <row r="4" spans="1:7" ht="13.5" thickBot="1" x14ac:dyDescent="0.25"/>
    <row r="5" spans="1:7" ht="15.75" thickBot="1" x14ac:dyDescent="0.3">
      <c r="C5" s="8" t="s">
        <v>1</v>
      </c>
      <c r="E5" s="8" t="s">
        <v>2</v>
      </c>
      <c r="F5" s="2"/>
      <c r="G5" s="8" t="s">
        <v>3</v>
      </c>
    </row>
    <row r="8" spans="1:7" x14ac:dyDescent="0.2">
      <c r="A8" s="5">
        <v>1</v>
      </c>
      <c r="C8" s="3">
        <v>38359</v>
      </c>
      <c r="E8" s="4" t="s">
        <v>33</v>
      </c>
      <c r="G8" s="5" t="s">
        <v>34</v>
      </c>
    </row>
    <row r="10" spans="1:7" x14ac:dyDescent="0.2">
      <c r="A10" s="5">
        <v>2</v>
      </c>
      <c r="C10" s="3">
        <v>38395</v>
      </c>
      <c r="E10" s="4" t="s">
        <v>55</v>
      </c>
      <c r="G10" s="5" t="s">
        <v>56</v>
      </c>
    </row>
    <row r="12" spans="1:7" x14ac:dyDescent="0.2">
      <c r="A12" s="5">
        <v>3</v>
      </c>
      <c r="C12" s="3">
        <v>38402</v>
      </c>
      <c r="E12" s="4" t="s">
        <v>55</v>
      </c>
      <c r="G12" s="5" t="s">
        <v>56</v>
      </c>
    </row>
    <row r="14" spans="1:7" x14ac:dyDescent="0.2">
      <c r="A14" s="5">
        <v>4</v>
      </c>
      <c r="C14" s="3">
        <v>38403</v>
      </c>
      <c r="E14" s="4" t="s">
        <v>55</v>
      </c>
      <c r="G14" s="5" t="s">
        <v>56</v>
      </c>
    </row>
    <row r="16" spans="1:7" x14ac:dyDescent="0.2">
      <c r="A16" s="5">
        <v>5</v>
      </c>
      <c r="C16" s="3">
        <v>38415</v>
      </c>
      <c r="E16" s="4" t="s">
        <v>33</v>
      </c>
      <c r="G16" s="5" t="s">
        <v>34</v>
      </c>
    </row>
    <row r="18" spans="1:7" x14ac:dyDescent="0.2">
      <c r="A18" s="5">
        <v>6</v>
      </c>
      <c r="C18" s="3">
        <v>38424</v>
      </c>
      <c r="E18" s="4" t="s">
        <v>65</v>
      </c>
      <c r="G18" s="5" t="s">
        <v>18</v>
      </c>
    </row>
    <row r="20" spans="1:7" x14ac:dyDescent="0.2">
      <c r="A20" s="5">
        <v>7</v>
      </c>
      <c r="C20" s="3">
        <v>38429</v>
      </c>
      <c r="E20" s="4" t="s">
        <v>57</v>
      </c>
      <c r="G20" s="5" t="s">
        <v>58</v>
      </c>
    </row>
    <row r="22" spans="1:7" x14ac:dyDescent="0.2">
      <c r="A22" s="5">
        <v>8</v>
      </c>
      <c r="C22" s="3">
        <v>38430</v>
      </c>
      <c r="E22" s="4" t="s">
        <v>66</v>
      </c>
      <c r="G22" s="5" t="s">
        <v>18</v>
      </c>
    </row>
    <row r="24" spans="1:7" x14ac:dyDescent="0.2">
      <c r="A24" s="5">
        <v>9</v>
      </c>
      <c r="C24" s="3">
        <v>38431</v>
      </c>
      <c r="E24" s="4" t="s">
        <v>67</v>
      </c>
      <c r="G24" s="5" t="s">
        <v>59</v>
      </c>
    </row>
    <row r="26" spans="1:7" x14ac:dyDescent="0.2">
      <c r="A26" s="5">
        <v>10</v>
      </c>
      <c r="C26" s="3">
        <v>38436</v>
      </c>
      <c r="E26" s="4" t="s">
        <v>60</v>
      </c>
      <c r="G26" s="5" t="s">
        <v>58</v>
      </c>
    </row>
    <row r="28" spans="1:7" x14ac:dyDescent="0.2">
      <c r="A28" s="5">
        <v>11</v>
      </c>
      <c r="C28" s="3">
        <v>38438</v>
      </c>
      <c r="E28" s="4" t="s">
        <v>61</v>
      </c>
      <c r="G28" s="5" t="s">
        <v>62</v>
      </c>
    </row>
    <row r="29" spans="1:7" x14ac:dyDescent="0.2">
      <c r="G29" s="2"/>
    </row>
    <row r="30" spans="1:7" x14ac:dyDescent="0.2">
      <c r="A30" s="5">
        <v>12</v>
      </c>
      <c r="C30" s="3">
        <v>38443</v>
      </c>
      <c r="E30" s="4" t="s">
        <v>33</v>
      </c>
      <c r="G30" s="5" t="s">
        <v>34</v>
      </c>
    </row>
    <row r="32" spans="1:7" x14ac:dyDescent="0.2">
      <c r="A32" s="5">
        <v>13</v>
      </c>
      <c r="C32" s="3">
        <v>38450</v>
      </c>
      <c r="E32" s="4" t="s">
        <v>63</v>
      </c>
      <c r="G32" s="5" t="s">
        <v>64</v>
      </c>
    </row>
    <row r="34" spans="1:7" x14ac:dyDescent="0.2">
      <c r="A34" s="5">
        <v>14</v>
      </c>
      <c r="C34" s="3">
        <v>38478</v>
      </c>
      <c r="E34" s="4" t="s">
        <v>33</v>
      </c>
      <c r="G34" s="5" t="s">
        <v>34</v>
      </c>
    </row>
    <row r="36" spans="1:7" x14ac:dyDescent="0.2">
      <c r="A36" s="5">
        <v>15</v>
      </c>
      <c r="C36" s="3">
        <v>38493</v>
      </c>
      <c r="E36" s="4" t="s">
        <v>68</v>
      </c>
      <c r="G36" s="5" t="s">
        <v>69</v>
      </c>
    </row>
    <row r="38" spans="1:7" x14ac:dyDescent="0.2">
      <c r="A38" s="5">
        <v>16</v>
      </c>
      <c r="C38" s="6">
        <v>38496</v>
      </c>
      <c r="E38" s="4" t="s">
        <v>70</v>
      </c>
      <c r="G38" s="5" t="s">
        <v>71</v>
      </c>
    </row>
    <row r="40" spans="1:7" x14ac:dyDescent="0.2">
      <c r="A40" s="4">
        <v>17</v>
      </c>
      <c r="C40" s="3">
        <v>38506</v>
      </c>
      <c r="E40" s="4" t="s">
        <v>33</v>
      </c>
      <c r="G40" s="5" t="s">
        <v>34</v>
      </c>
    </row>
    <row r="42" spans="1:7" x14ac:dyDescent="0.2">
      <c r="A42" s="4">
        <v>18</v>
      </c>
      <c r="C42" s="3">
        <v>38507</v>
      </c>
      <c r="E42" s="4" t="s">
        <v>61</v>
      </c>
      <c r="G42" s="5" t="s">
        <v>62</v>
      </c>
    </row>
    <row r="44" spans="1:7" x14ac:dyDescent="0.2">
      <c r="A44" s="5">
        <v>19</v>
      </c>
      <c r="C44" s="3">
        <v>38523</v>
      </c>
      <c r="E44" s="4" t="s">
        <v>41</v>
      </c>
      <c r="G44" s="5" t="s">
        <v>71</v>
      </c>
    </row>
    <row r="45" spans="1:7" x14ac:dyDescent="0.2">
      <c r="C45" s="1"/>
      <c r="G45" s="2"/>
    </row>
    <row r="46" spans="1:7" x14ac:dyDescent="0.2">
      <c r="A46" s="5">
        <v>20</v>
      </c>
      <c r="C46" s="3">
        <v>38526</v>
      </c>
      <c r="E46" s="4" t="s">
        <v>72</v>
      </c>
      <c r="G46" s="5" t="s">
        <v>73</v>
      </c>
    </row>
    <row r="47" spans="1:7" x14ac:dyDescent="0.2">
      <c r="A47" s="2"/>
    </row>
    <row r="48" spans="1:7" x14ac:dyDescent="0.2">
      <c r="A48" s="5">
        <v>21</v>
      </c>
      <c r="C48" s="3">
        <v>38543</v>
      </c>
      <c r="E48" s="4" t="s">
        <v>61</v>
      </c>
      <c r="G48" s="5" t="s">
        <v>62</v>
      </c>
    </row>
    <row r="49" spans="1:7" x14ac:dyDescent="0.2">
      <c r="A49" s="2"/>
    </row>
    <row r="50" spans="1:7" x14ac:dyDescent="0.2">
      <c r="A50" s="5">
        <v>22</v>
      </c>
      <c r="C50" s="3">
        <v>38592</v>
      </c>
      <c r="E50" s="4" t="s">
        <v>61</v>
      </c>
      <c r="G50" s="5" t="s">
        <v>62</v>
      </c>
    </row>
    <row r="51" spans="1:7" x14ac:dyDescent="0.2">
      <c r="A51" s="2"/>
    </row>
    <row r="52" spans="1:7" x14ac:dyDescent="0.2">
      <c r="A52" s="5">
        <v>23</v>
      </c>
      <c r="C52" s="3">
        <v>38618</v>
      </c>
      <c r="E52" s="4" t="s">
        <v>74</v>
      </c>
      <c r="G52" s="5" t="s">
        <v>75</v>
      </c>
    </row>
    <row r="53" spans="1:7" x14ac:dyDescent="0.2">
      <c r="A53" s="2"/>
    </row>
    <row r="54" spans="1:7" x14ac:dyDescent="0.2">
      <c r="A54" s="5">
        <v>24</v>
      </c>
      <c r="C54" s="3">
        <v>38618</v>
      </c>
      <c r="E54" s="4" t="s">
        <v>80</v>
      </c>
      <c r="G54" s="5" t="s">
        <v>76</v>
      </c>
    </row>
    <row r="56" spans="1:7" x14ac:dyDescent="0.2">
      <c r="A56" s="5">
        <v>25</v>
      </c>
      <c r="C56" s="3">
        <v>38619</v>
      </c>
      <c r="E56" s="4" t="s">
        <v>80</v>
      </c>
      <c r="G56" s="5" t="s">
        <v>77</v>
      </c>
    </row>
    <row r="58" spans="1:7" x14ac:dyDescent="0.2">
      <c r="A58" s="5">
        <v>26</v>
      </c>
      <c r="C58" s="6">
        <v>38632</v>
      </c>
      <c r="E58" s="4" t="s">
        <v>33</v>
      </c>
      <c r="G58" s="5" t="s">
        <v>34</v>
      </c>
    </row>
    <row r="60" spans="1:7" x14ac:dyDescent="0.2">
      <c r="A60" s="5">
        <v>27</v>
      </c>
      <c r="C60" s="6">
        <v>38634</v>
      </c>
      <c r="E60" s="4" t="s">
        <v>79</v>
      </c>
      <c r="G60" s="5" t="s">
        <v>78</v>
      </c>
    </row>
    <row r="61" spans="1:7" x14ac:dyDescent="0.2">
      <c r="A61" s="2"/>
      <c r="C61" s="7"/>
      <c r="G61" s="2"/>
    </row>
    <row r="62" spans="1:7" x14ac:dyDescent="0.2">
      <c r="A62" s="5">
        <v>28</v>
      </c>
      <c r="C62" s="6">
        <v>38660</v>
      </c>
      <c r="E62" s="4" t="s">
        <v>33</v>
      </c>
      <c r="G62" s="5" t="s">
        <v>34</v>
      </c>
    </row>
    <row r="64" spans="1:7" x14ac:dyDescent="0.2">
      <c r="A64" s="5">
        <v>29</v>
      </c>
      <c r="C64" s="6">
        <v>38694</v>
      </c>
      <c r="E64" s="4" t="s">
        <v>81</v>
      </c>
      <c r="G64" s="5" t="s">
        <v>37</v>
      </c>
    </row>
    <row r="66" spans="1:7" x14ac:dyDescent="0.2">
      <c r="A66" s="5">
        <v>30</v>
      </c>
      <c r="C66" s="3">
        <v>38702</v>
      </c>
      <c r="E66" s="4" t="s">
        <v>83</v>
      </c>
      <c r="G66" s="5" t="s">
        <v>82</v>
      </c>
    </row>
    <row r="68" spans="1:7" x14ac:dyDescent="0.2">
      <c r="C68" s="1"/>
    </row>
  </sheetData>
  <mergeCells count="1">
    <mergeCell ref="D2:E2"/>
  </mergeCells>
  <phoneticPr fontId="0" type="noConversion"/>
  <pageMargins left="0.23" right="0.19" top="0.61" bottom="0.21" header="0.18" footer="0.13"/>
  <pageSetup paperSize="9"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FCA1-8301-4ACC-BDA8-E7E51B2CD32C}">
  <sheetPr>
    <tabColor indexed="22"/>
  </sheetPr>
  <dimension ref="A1:G84"/>
  <sheetViews>
    <sheetView workbookViewId="0">
      <pane ySplit="5" topLeftCell="A10" activePane="bottomLeft" state="frozen"/>
      <selection pane="bottomLeft" activeCell="I58" sqref="I58"/>
    </sheetView>
  </sheetViews>
  <sheetFormatPr defaultRowHeight="12.75" x14ac:dyDescent="0.2"/>
  <cols>
    <col min="1" max="1" width="3" customWidth="1"/>
    <col min="2" max="2" width="1.85546875" customWidth="1"/>
    <col min="3" max="3" width="10.140625" bestFit="1" customWidth="1"/>
    <col min="4" max="4" width="4.85546875" customWidth="1"/>
    <col min="5" max="5" width="63.85546875" customWidth="1"/>
    <col min="6" max="6" width="0.85546875" customWidth="1"/>
    <col min="7" max="7" width="18.28515625" customWidth="1"/>
  </cols>
  <sheetData>
    <row r="1" spans="1:7" ht="13.5" thickBot="1" x14ac:dyDescent="0.25"/>
    <row r="2" spans="1:7" ht="15.75" thickBot="1" x14ac:dyDescent="0.3">
      <c r="D2" s="303" t="s">
        <v>84</v>
      </c>
      <c r="E2" s="304"/>
    </row>
    <row r="4" spans="1:7" ht="13.5" thickBot="1" x14ac:dyDescent="0.25"/>
    <row r="5" spans="1:7" ht="15.75" thickBot="1" x14ac:dyDescent="0.3">
      <c r="C5" s="8" t="s">
        <v>1</v>
      </c>
      <c r="E5" s="8" t="s">
        <v>2</v>
      </c>
      <c r="F5" s="2"/>
      <c r="G5" s="8" t="s">
        <v>3</v>
      </c>
    </row>
    <row r="8" spans="1:7" x14ac:dyDescent="0.2">
      <c r="A8" s="5">
        <v>1</v>
      </c>
      <c r="C8" s="3">
        <v>38801</v>
      </c>
      <c r="E8" s="4" t="s">
        <v>86</v>
      </c>
      <c r="G8" s="5" t="s">
        <v>4</v>
      </c>
    </row>
    <row r="10" spans="1:7" x14ac:dyDescent="0.2">
      <c r="A10" s="5">
        <v>2</v>
      </c>
      <c r="C10" s="3">
        <v>38802</v>
      </c>
      <c r="E10" s="4" t="s">
        <v>86</v>
      </c>
      <c r="G10" s="5" t="s">
        <v>4</v>
      </c>
    </row>
    <row r="12" spans="1:7" x14ac:dyDescent="0.2">
      <c r="A12" s="5">
        <v>3</v>
      </c>
      <c r="C12" s="3">
        <v>38808</v>
      </c>
      <c r="E12" s="4" t="s">
        <v>87</v>
      </c>
      <c r="G12" s="5" t="s">
        <v>30</v>
      </c>
    </row>
    <row r="14" spans="1:7" x14ac:dyDescent="0.2">
      <c r="A14" s="5">
        <v>4</v>
      </c>
      <c r="C14" s="3">
        <v>38809</v>
      </c>
      <c r="E14" s="4" t="s">
        <v>87</v>
      </c>
      <c r="G14" s="5" t="s">
        <v>30</v>
      </c>
    </row>
    <row r="16" spans="1:7" x14ac:dyDescent="0.2">
      <c r="A16" s="5">
        <v>5</v>
      </c>
      <c r="C16" s="3">
        <v>38814</v>
      </c>
      <c r="E16" s="4" t="s">
        <v>88</v>
      </c>
      <c r="G16" s="5" t="s">
        <v>85</v>
      </c>
    </row>
    <row r="18" spans="1:7" x14ac:dyDescent="0.2">
      <c r="A18" s="5">
        <v>6</v>
      </c>
      <c r="C18" s="3">
        <v>38815</v>
      </c>
      <c r="D18" s="10" t="s">
        <v>94</v>
      </c>
      <c r="E18" s="4" t="s">
        <v>89</v>
      </c>
      <c r="G18" s="5" t="s">
        <v>18</v>
      </c>
    </row>
    <row r="20" spans="1:7" x14ac:dyDescent="0.2">
      <c r="A20" s="5">
        <v>7</v>
      </c>
      <c r="C20" s="3">
        <v>38821</v>
      </c>
      <c r="D20" s="10" t="s">
        <v>94</v>
      </c>
      <c r="E20" s="4" t="s">
        <v>60</v>
      </c>
      <c r="G20" s="5" t="s">
        <v>82</v>
      </c>
    </row>
    <row r="22" spans="1:7" x14ac:dyDescent="0.2">
      <c r="A22" s="5">
        <v>8</v>
      </c>
      <c r="C22" s="3">
        <v>38859</v>
      </c>
      <c r="E22" s="4" t="s">
        <v>90</v>
      </c>
      <c r="G22" s="5" t="s">
        <v>91</v>
      </c>
    </row>
    <row r="24" spans="1:7" x14ac:dyDescent="0.2">
      <c r="A24" s="5">
        <v>9</v>
      </c>
      <c r="C24" s="3">
        <v>38860</v>
      </c>
      <c r="E24" s="4" t="s">
        <v>90</v>
      </c>
      <c r="G24" s="5" t="s">
        <v>92</v>
      </c>
    </row>
    <row r="26" spans="1:7" x14ac:dyDescent="0.2">
      <c r="A26" s="5">
        <v>10</v>
      </c>
      <c r="C26" s="6">
        <v>38496</v>
      </c>
      <c r="D26" s="11" t="s">
        <v>94</v>
      </c>
      <c r="E26" s="4" t="s">
        <v>70</v>
      </c>
      <c r="G26" s="5" t="s">
        <v>93</v>
      </c>
    </row>
    <row r="28" spans="1:7" x14ac:dyDescent="0.2">
      <c r="A28" s="5">
        <v>11</v>
      </c>
      <c r="C28" s="3">
        <v>38862</v>
      </c>
      <c r="E28" s="4" t="s">
        <v>90</v>
      </c>
      <c r="G28" s="5" t="s">
        <v>95</v>
      </c>
    </row>
    <row r="29" spans="1:7" x14ac:dyDescent="0.2">
      <c r="G29" s="2"/>
    </row>
    <row r="30" spans="1:7" x14ac:dyDescent="0.2">
      <c r="A30" s="5">
        <v>12</v>
      </c>
      <c r="C30" s="3">
        <v>38863</v>
      </c>
      <c r="E30" s="4" t="s">
        <v>90</v>
      </c>
      <c r="G30" s="5" t="s">
        <v>96</v>
      </c>
    </row>
    <row r="32" spans="1:7" x14ac:dyDescent="0.2">
      <c r="A32" s="5">
        <v>13</v>
      </c>
      <c r="C32" s="3">
        <v>38864</v>
      </c>
      <c r="E32" s="4" t="s">
        <v>97</v>
      </c>
      <c r="G32" s="5" t="s">
        <v>98</v>
      </c>
    </row>
    <row r="34" spans="1:7" x14ac:dyDescent="0.2">
      <c r="A34" s="5">
        <v>14</v>
      </c>
      <c r="C34" s="3">
        <v>38865</v>
      </c>
      <c r="E34" s="4" t="s">
        <v>90</v>
      </c>
      <c r="G34" s="5" t="s">
        <v>96</v>
      </c>
    </row>
    <row r="36" spans="1:7" x14ac:dyDescent="0.2">
      <c r="A36" s="5">
        <v>15</v>
      </c>
      <c r="C36" s="3">
        <v>38867</v>
      </c>
      <c r="E36" s="4" t="s">
        <v>90</v>
      </c>
      <c r="G36" s="5" t="s">
        <v>99</v>
      </c>
    </row>
    <row r="38" spans="1:7" x14ac:dyDescent="0.2">
      <c r="A38" s="5">
        <v>16</v>
      </c>
      <c r="C38" s="6">
        <v>38869</v>
      </c>
      <c r="E38" s="4" t="s">
        <v>90</v>
      </c>
      <c r="G38" s="5" t="s">
        <v>91</v>
      </c>
    </row>
    <row r="40" spans="1:7" x14ac:dyDescent="0.2">
      <c r="A40" s="4">
        <v>17</v>
      </c>
      <c r="C40" s="3">
        <v>38870</v>
      </c>
      <c r="D40" s="11" t="s">
        <v>94</v>
      </c>
      <c r="E40" s="4" t="s">
        <v>100</v>
      </c>
      <c r="G40" s="5" t="s">
        <v>101</v>
      </c>
    </row>
    <row r="42" spans="1:7" x14ac:dyDescent="0.2">
      <c r="A42" s="4">
        <v>18</v>
      </c>
      <c r="C42" s="3">
        <v>38871</v>
      </c>
      <c r="E42" s="4" t="s">
        <v>97</v>
      </c>
      <c r="G42" s="5" t="s">
        <v>98</v>
      </c>
    </row>
    <row r="44" spans="1:7" x14ac:dyDescent="0.2">
      <c r="A44" s="5">
        <v>19</v>
      </c>
      <c r="C44" s="3">
        <v>38872</v>
      </c>
      <c r="D44" s="11" t="s">
        <v>94</v>
      </c>
      <c r="E44" s="4" t="s">
        <v>97</v>
      </c>
      <c r="G44" s="5" t="s">
        <v>102</v>
      </c>
    </row>
    <row r="45" spans="1:7" x14ac:dyDescent="0.2">
      <c r="C45" s="1"/>
      <c r="G45" s="2"/>
    </row>
    <row r="46" spans="1:7" x14ac:dyDescent="0.2">
      <c r="A46" s="5">
        <v>20</v>
      </c>
      <c r="C46" s="3">
        <v>38873</v>
      </c>
      <c r="D46" s="11" t="s">
        <v>94</v>
      </c>
      <c r="E46" s="4" t="s">
        <v>103</v>
      </c>
      <c r="G46" s="5" t="s">
        <v>104</v>
      </c>
    </row>
    <row r="47" spans="1:7" x14ac:dyDescent="0.2">
      <c r="A47" s="2"/>
    </row>
    <row r="48" spans="1:7" x14ac:dyDescent="0.2">
      <c r="A48" s="5">
        <v>21</v>
      </c>
      <c r="C48" s="3">
        <v>38884</v>
      </c>
      <c r="D48" s="11" t="s">
        <v>94</v>
      </c>
      <c r="E48" s="4" t="s">
        <v>114</v>
      </c>
      <c r="G48" s="5" t="s">
        <v>105</v>
      </c>
    </row>
    <row r="49" spans="1:7" x14ac:dyDescent="0.2">
      <c r="A49" s="2"/>
    </row>
    <row r="50" spans="1:7" x14ac:dyDescent="0.2">
      <c r="A50" s="5">
        <v>22</v>
      </c>
      <c r="C50" s="3">
        <v>38885</v>
      </c>
      <c r="D50" s="11" t="s">
        <v>94</v>
      </c>
      <c r="E50" s="4" t="s">
        <v>114</v>
      </c>
      <c r="G50" s="5" t="s">
        <v>106</v>
      </c>
    </row>
    <row r="51" spans="1:7" x14ac:dyDescent="0.2">
      <c r="A51" s="2"/>
    </row>
    <row r="52" spans="1:7" x14ac:dyDescent="0.2">
      <c r="A52" s="5">
        <v>23</v>
      </c>
      <c r="C52" s="3">
        <v>38886</v>
      </c>
      <c r="D52" s="11" t="s">
        <v>94</v>
      </c>
      <c r="E52" s="4" t="s">
        <v>114</v>
      </c>
      <c r="G52" s="5" t="s">
        <v>105</v>
      </c>
    </row>
    <row r="53" spans="1:7" x14ac:dyDescent="0.2">
      <c r="A53" s="2"/>
    </row>
    <row r="54" spans="1:7" x14ac:dyDescent="0.2">
      <c r="A54" s="5">
        <v>24</v>
      </c>
      <c r="C54" s="3">
        <v>38891</v>
      </c>
      <c r="D54" s="11" t="s">
        <v>94</v>
      </c>
      <c r="E54" s="4" t="s">
        <v>72</v>
      </c>
      <c r="G54" s="5" t="s">
        <v>107</v>
      </c>
    </row>
    <row r="56" spans="1:7" x14ac:dyDescent="0.2">
      <c r="A56" s="5">
        <v>25</v>
      </c>
      <c r="C56" s="3">
        <v>38892</v>
      </c>
      <c r="D56" s="11" t="s">
        <v>94</v>
      </c>
      <c r="E56" s="4" t="s">
        <v>108</v>
      </c>
      <c r="G56" s="5" t="s">
        <v>109</v>
      </c>
    </row>
    <row r="58" spans="1:7" x14ac:dyDescent="0.2">
      <c r="A58" s="5">
        <v>26</v>
      </c>
      <c r="C58" s="6">
        <v>38892</v>
      </c>
      <c r="D58" s="11" t="s">
        <v>94</v>
      </c>
      <c r="E58" s="4" t="s">
        <v>110</v>
      </c>
      <c r="G58" s="5" t="s">
        <v>111</v>
      </c>
    </row>
    <row r="60" spans="1:7" x14ac:dyDescent="0.2">
      <c r="A60" s="5">
        <v>27</v>
      </c>
      <c r="C60" s="6">
        <v>38910</v>
      </c>
      <c r="D60" s="11" t="s">
        <v>94</v>
      </c>
      <c r="E60" s="4" t="s">
        <v>112</v>
      </c>
      <c r="G60" s="5" t="s">
        <v>113</v>
      </c>
    </row>
    <row r="61" spans="1:7" x14ac:dyDescent="0.2">
      <c r="A61" s="2"/>
      <c r="C61" s="7"/>
      <c r="G61" s="2"/>
    </row>
    <row r="62" spans="1:7" x14ac:dyDescent="0.2">
      <c r="A62" s="5">
        <v>28</v>
      </c>
      <c r="C62" s="6">
        <v>38977</v>
      </c>
      <c r="D62" s="11" t="s">
        <v>94</v>
      </c>
      <c r="E62" s="4" t="s">
        <v>115</v>
      </c>
      <c r="G62" s="5" t="s">
        <v>116</v>
      </c>
    </row>
    <row r="64" spans="1:7" x14ac:dyDescent="0.2">
      <c r="A64" s="5">
        <v>29</v>
      </c>
      <c r="C64" s="6">
        <v>38983</v>
      </c>
      <c r="D64" s="11" t="s">
        <v>94</v>
      </c>
      <c r="E64" s="4" t="s">
        <v>117</v>
      </c>
      <c r="G64" s="5" t="s">
        <v>92</v>
      </c>
    </row>
    <row r="66" spans="1:7" x14ac:dyDescent="0.2">
      <c r="A66" s="5">
        <v>30</v>
      </c>
      <c r="C66" s="3">
        <v>38990</v>
      </c>
      <c r="E66" s="4" t="s">
        <v>119</v>
      </c>
      <c r="F66" t="s">
        <v>118</v>
      </c>
      <c r="G66" s="5" t="s">
        <v>120</v>
      </c>
    </row>
    <row r="68" spans="1:7" x14ac:dyDescent="0.2">
      <c r="A68" s="5">
        <v>31</v>
      </c>
      <c r="C68" s="3">
        <v>38991</v>
      </c>
      <c r="E68" s="4" t="s">
        <v>119</v>
      </c>
      <c r="G68" s="5" t="s">
        <v>120</v>
      </c>
    </row>
    <row r="70" spans="1:7" x14ac:dyDescent="0.2">
      <c r="A70" s="5">
        <v>32</v>
      </c>
      <c r="C70" s="3">
        <v>38993</v>
      </c>
      <c r="E70" s="4" t="s">
        <v>119</v>
      </c>
      <c r="G70" s="5" t="s">
        <v>120</v>
      </c>
    </row>
    <row r="72" spans="1:7" x14ac:dyDescent="0.2">
      <c r="A72" s="4">
        <v>33</v>
      </c>
      <c r="C72" s="3">
        <v>38995</v>
      </c>
      <c r="E72" s="4" t="s">
        <v>119</v>
      </c>
      <c r="G72" s="5" t="s">
        <v>120</v>
      </c>
    </row>
    <row r="74" spans="1:7" x14ac:dyDescent="0.2">
      <c r="A74" s="4">
        <v>34</v>
      </c>
      <c r="C74" s="3">
        <v>38997</v>
      </c>
      <c r="E74" s="4" t="s">
        <v>119</v>
      </c>
      <c r="G74" s="5" t="s">
        <v>120</v>
      </c>
    </row>
    <row r="76" spans="1:7" x14ac:dyDescent="0.2">
      <c r="A76" s="4">
        <v>35</v>
      </c>
      <c r="C76" s="3">
        <v>39025</v>
      </c>
      <c r="D76" s="11" t="s">
        <v>94</v>
      </c>
      <c r="E76" s="4" t="s">
        <v>121</v>
      </c>
      <c r="G76" s="5" t="s">
        <v>122</v>
      </c>
    </row>
    <row r="78" spans="1:7" x14ac:dyDescent="0.2">
      <c r="A78" s="4">
        <v>36</v>
      </c>
      <c r="C78" s="3">
        <v>39026</v>
      </c>
      <c r="D78" s="11" t="s">
        <v>94</v>
      </c>
      <c r="E78" s="4" t="s">
        <v>121</v>
      </c>
      <c r="G78" s="5" t="s">
        <v>123</v>
      </c>
    </row>
    <row r="80" spans="1:7" x14ac:dyDescent="0.2">
      <c r="A80" s="5">
        <v>37</v>
      </c>
      <c r="C80" s="6">
        <v>39047</v>
      </c>
      <c r="D80" s="11" t="s">
        <v>94</v>
      </c>
      <c r="E80" s="12" t="s">
        <v>124</v>
      </c>
      <c r="G80" s="5" t="s">
        <v>125</v>
      </c>
    </row>
    <row r="82" spans="1:7" x14ac:dyDescent="0.2">
      <c r="A82" s="5">
        <v>38</v>
      </c>
      <c r="C82" s="3">
        <v>39054</v>
      </c>
      <c r="D82" s="11" t="s">
        <v>94</v>
      </c>
      <c r="E82" s="12" t="s">
        <v>124</v>
      </c>
      <c r="G82" s="5" t="s">
        <v>126</v>
      </c>
    </row>
    <row r="83" spans="1:7" x14ac:dyDescent="0.2">
      <c r="A83" s="2"/>
    </row>
    <row r="84" spans="1:7" x14ac:dyDescent="0.2">
      <c r="A84" s="5">
        <v>39</v>
      </c>
      <c r="C84" s="3">
        <v>39067</v>
      </c>
      <c r="D84" s="11" t="s">
        <v>94</v>
      </c>
      <c r="E84" s="4" t="s">
        <v>127</v>
      </c>
      <c r="G84" s="5" t="s">
        <v>128</v>
      </c>
    </row>
  </sheetData>
  <mergeCells count="1">
    <mergeCell ref="D2:E2"/>
  </mergeCells>
  <phoneticPr fontId="0" type="noConversion"/>
  <pageMargins left="0.17" right="0.13" top="0.23" bottom="0.24" header="0.16" footer="0.14000000000000001"/>
  <pageSetup paperSize="9" orientation="portrait" horizontalDpi="4294967293" verticalDpi="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EE63-0170-44AD-9DC9-D6669A422E70}">
  <sheetPr>
    <tabColor indexed="16"/>
  </sheetPr>
  <dimension ref="A1:G20"/>
  <sheetViews>
    <sheetView workbookViewId="0">
      <pane ySplit="5" topLeftCell="A6" activePane="bottomLeft" state="frozen"/>
      <selection pane="bottomLeft" activeCell="E32" sqref="E32"/>
    </sheetView>
  </sheetViews>
  <sheetFormatPr defaultRowHeight="12.75" x14ac:dyDescent="0.2"/>
  <cols>
    <col min="1" max="1" width="3" customWidth="1"/>
    <col min="2" max="2" width="1.85546875" customWidth="1"/>
    <col min="3" max="3" width="10.140625" bestFit="1" customWidth="1"/>
    <col min="4" max="4" width="5.42578125" customWidth="1"/>
    <col min="5" max="5" width="65.140625" customWidth="1"/>
    <col min="6" max="6" width="0.85546875" customWidth="1"/>
    <col min="7" max="7" width="18.28515625" customWidth="1"/>
  </cols>
  <sheetData>
    <row r="1" spans="1:7" ht="13.5" thickBot="1" x14ac:dyDescent="0.25"/>
    <row r="2" spans="1:7" ht="15.75" thickBot="1" x14ac:dyDescent="0.3">
      <c r="D2" s="303" t="s">
        <v>129</v>
      </c>
      <c r="E2" s="304"/>
    </row>
    <row r="4" spans="1:7" ht="13.5" thickBot="1" x14ac:dyDescent="0.25"/>
    <row r="5" spans="1:7" ht="15.75" thickBot="1" x14ac:dyDescent="0.3">
      <c r="C5" s="8" t="s">
        <v>1</v>
      </c>
      <c r="E5" s="8" t="s">
        <v>2</v>
      </c>
      <c r="F5" s="2"/>
      <c r="G5" s="8" t="s">
        <v>3</v>
      </c>
    </row>
    <row r="8" spans="1:7" x14ac:dyDescent="0.2">
      <c r="A8" s="5">
        <v>1</v>
      </c>
      <c r="C8" s="3">
        <v>39117</v>
      </c>
      <c r="D8" s="10" t="s">
        <v>94</v>
      </c>
      <c r="E8" s="4" t="s">
        <v>130</v>
      </c>
      <c r="G8" s="5" t="s">
        <v>131</v>
      </c>
    </row>
    <row r="10" spans="1:7" x14ac:dyDescent="0.2">
      <c r="A10" s="5">
        <v>2</v>
      </c>
      <c r="C10" s="3">
        <v>39152</v>
      </c>
      <c r="D10" s="10" t="s">
        <v>94</v>
      </c>
      <c r="E10" s="4" t="s">
        <v>132</v>
      </c>
      <c r="G10" s="5" t="s">
        <v>133</v>
      </c>
    </row>
    <row r="12" spans="1:7" x14ac:dyDescent="0.2">
      <c r="A12" s="5">
        <v>3</v>
      </c>
      <c r="C12" s="3">
        <v>39165</v>
      </c>
      <c r="D12" s="10" t="s">
        <v>139</v>
      </c>
      <c r="E12" s="4" t="s">
        <v>63</v>
      </c>
      <c r="G12" s="5" t="s">
        <v>134</v>
      </c>
    </row>
    <row r="14" spans="1:7" x14ac:dyDescent="0.2">
      <c r="A14" s="5">
        <v>4</v>
      </c>
      <c r="C14" s="3">
        <v>39235</v>
      </c>
      <c r="D14" s="10" t="s">
        <v>139</v>
      </c>
      <c r="E14" s="4" t="s">
        <v>144</v>
      </c>
      <c r="G14" s="5" t="s">
        <v>135</v>
      </c>
    </row>
    <row r="16" spans="1:7" x14ac:dyDescent="0.2">
      <c r="A16" s="5">
        <v>5</v>
      </c>
      <c r="C16" s="3">
        <v>39256</v>
      </c>
      <c r="D16" s="10" t="s">
        <v>139</v>
      </c>
      <c r="E16" s="4" t="s">
        <v>136</v>
      </c>
      <c r="G16" s="5" t="s">
        <v>137</v>
      </c>
    </row>
    <row r="18" spans="1:7" x14ac:dyDescent="0.2">
      <c r="A18" s="5">
        <v>6</v>
      </c>
      <c r="C18" s="3">
        <v>39257</v>
      </c>
      <c r="D18" s="10" t="s">
        <v>139</v>
      </c>
      <c r="E18" s="4" t="s">
        <v>138</v>
      </c>
      <c r="G18" s="5" t="s">
        <v>113</v>
      </c>
    </row>
    <row r="20" spans="1:7" x14ac:dyDescent="0.2">
      <c r="A20" s="5">
        <v>7</v>
      </c>
      <c r="C20" s="3">
        <v>39404</v>
      </c>
      <c r="D20" s="10" t="s">
        <v>139</v>
      </c>
      <c r="E20" s="4" t="s">
        <v>140</v>
      </c>
      <c r="G20" s="5" t="s">
        <v>141</v>
      </c>
    </row>
  </sheetData>
  <mergeCells count="1">
    <mergeCell ref="D2:E2"/>
  </mergeCells>
  <phoneticPr fontId="0" type="noConversion"/>
  <pageMargins left="0.26" right="0.18" top="1" bottom="1" header="0.5" footer="0.5"/>
  <pageSetup paperSize="9" scale="95" orientation="portrait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E5F2-2359-4DDD-A2EC-A6507943674C}">
  <sheetPr>
    <tabColor indexed="61"/>
  </sheetPr>
  <dimension ref="A1:G12"/>
  <sheetViews>
    <sheetView workbookViewId="0">
      <selection activeCell="E32" sqref="E32"/>
    </sheetView>
  </sheetViews>
  <sheetFormatPr defaultRowHeight="12.75" x14ac:dyDescent="0.2"/>
  <cols>
    <col min="1" max="1" width="2.5703125" customWidth="1"/>
    <col min="2" max="2" width="1.85546875" customWidth="1"/>
    <col min="3" max="3" width="10.140625" bestFit="1" customWidth="1"/>
    <col min="4" max="4" width="5.42578125" customWidth="1"/>
    <col min="5" max="5" width="65.140625" customWidth="1"/>
    <col min="6" max="6" width="0.85546875" customWidth="1"/>
    <col min="7" max="7" width="17.5703125" customWidth="1"/>
  </cols>
  <sheetData>
    <row r="1" spans="1:7" ht="13.5" thickBot="1" x14ac:dyDescent="0.25"/>
    <row r="2" spans="1:7" ht="15.75" thickBot="1" x14ac:dyDescent="0.3">
      <c r="D2" s="303" t="s">
        <v>150</v>
      </c>
      <c r="E2" s="304"/>
    </row>
    <row r="4" spans="1:7" ht="13.5" thickBot="1" x14ac:dyDescent="0.25"/>
    <row r="5" spans="1:7" ht="15.75" thickBot="1" x14ac:dyDescent="0.3">
      <c r="C5" s="8" t="s">
        <v>1</v>
      </c>
      <c r="E5" s="8" t="s">
        <v>2</v>
      </c>
      <c r="F5" s="2"/>
      <c r="G5" s="8" t="s">
        <v>3</v>
      </c>
    </row>
    <row r="8" spans="1:7" x14ac:dyDescent="0.2">
      <c r="A8" s="5">
        <v>1</v>
      </c>
      <c r="C8" s="3">
        <v>39623</v>
      </c>
      <c r="D8" s="13" t="s">
        <v>139</v>
      </c>
      <c r="E8" s="14" t="s">
        <v>142</v>
      </c>
      <c r="G8" s="5" t="s">
        <v>143</v>
      </c>
    </row>
    <row r="10" spans="1:7" x14ac:dyDescent="0.2">
      <c r="A10" s="5">
        <v>2</v>
      </c>
      <c r="C10" s="3">
        <v>39775</v>
      </c>
      <c r="D10" s="13" t="s">
        <v>139</v>
      </c>
      <c r="E10" s="4" t="s">
        <v>145</v>
      </c>
      <c r="G10" s="5" t="s">
        <v>146</v>
      </c>
    </row>
    <row r="12" spans="1:7" x14ac:dyDescent="0.2">
      <c r="A12" s="5">
        <v>3</v>
      </c>
      <c r="C12" s="3">
        <v>39782</v>
      </c>
      <c r="D12" s="13" t="s">
        <v>139</v>
      </c>
      <c r="E12" s="4" t="s">
        <v>147</v>
      </c>
      <c r="G12" s="5" t="s">
        <v>148</v>
      </c>
    </row>
  </sheetData>
  <mergeCells count="1">
    <mergeCell ref="D2:E2"/>
  </mergeCells>
  <phoneticPr fontId="0" type="noConversion"/>
  <pageMargins left="0.17" right="0.14000000000000001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8EE4-D2A3-47F5-96F5-E9811BAEE7CF}">
  <sheetPr>
    <tabColor theme="5" tint="0.39997558519241921"/>
  </sheetPr>
  <dimension ref="A1:G14"/>
  <sheetViews>
    <sheetView workbookViewId="0">
      <selection activeCell="E34" sqref="E34"/>
    </sheetView>
  </sheetViews>
  <sheetFormatPr defaultRowHeight="12.75" x14ac:dyDescent="0.2"/>
  <cols>
    <col min="1" max="1" width="2.5703125" customWidth="1"/>
    <col min="2" max="2" width="1.85546875" customWidth="1"/>
    <col min="3" max="3" width="10.140625" bestFit="1" customWidth="1"/>
    <col min="4" max="4" width="5.42578125" customWidth="1"/>
    <col min="5" max="5" width="65.140625" customWidth="1"/>
    <col min="6" max="6" width="0.85546875" customWidth="1"/>
    <col min="7" max="7" width="17.5703125" customWidth="1"/>
  </cols>
  <sheetData>
    <row r="1" spans="1:7" ht="13.5" thickBot="1" x14ac:dyDescent="0.25"/>
    <row r="2" spans="1:7" ht="15.75" thickBot="1" x14ac:dyDescent="0.3">
      <c r="D2" s="303" t="s">
        <v>149</v>
      </c>
      <c r="E2" s="304"/>
    </row>
    <row r="4" spans="1:7" ht="13.5" thickBot="1" x14ac:dyDescent="0.25"/>
    <row r="5" spans="1:7" ht="15.75" thickBot="1" x14ac:dyDescent="0.3">
      <c r="C5" s="8" t="s">
        <v>1</v>
      </c>
      <c r="E5" s="8" t="s">
        <v>2</v>
      </c>
      <c r="F5" s="2"/>
      <c r="G5" s="8" t="s">
        <v>3</v>
      </c>
    </row>
    <row r="8" spans="1:7" x14ac:dyDescent="0.2">
      <c r="A8" s="5">
        <v>1</v>
      </c>
      <c r="C8" s="3">
        <v>39879</v>
      </c>
      <c r="D8" s="13" t="s">
        <v>139</v>
      </c>
      <c r="E8" s="15" t="s">
        <v>151</v>
      </c>
      <c r="G8" s="5" t="s">
        <v>152</v>
      </c>
    </row>
    <row r="10" spans="1:7" x14ac:dyDescent="0.2">
      <c r="A10" s="5">
        <v>2</v>
      </c>
      <c r="C10" s="3">
        <v>40111</v>
      </c>
      <c r="D10" s="13" t="s">
        <v>139</v>
      </c>
      <c r="E10" s="4" t="s">
        <v>153</v>
      </c>
      <c r="G10" s="5" t="s">
        <v>154</v>
      </c>
    </row>
    <row r="12" spans="1:7" x14ac:dyDescent="0.2">
      <c r="A12" s="5">
        <v>3</v>
      </c>
      <c r="C12" s="3">
        <v>40118</v>
      </c>
      <c r="D12" s="13" t="s">
        <v>139</v>
      </c>
      <c r="E12" s="4" t="s">
        <v>153</v>
      </c>
      <c r="G12" s="5" t="s">
        <v>155</v>
      </c>
    </row>
    <row r="14" spans="1:7" x14ac:dyDescent="0.2">
      <c r="A14" s="5">
        <v>4</v>
      </c>
      <c r="C14" s="3">
        <v>40119</v>
      </c>
      <c r="D14" s="13" t="s">
        <v>139</v>
      </c>
      <c r="E14" s="4" t="s">
        <v>153</v>
      </c>
      <c r="G14" s="5" t="s">
        <v>156</v>
      </c>
    </row>
  </sheetData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E1E3-B237-4292-A521-405F50571A1A}">
  <sheetPr>
    <tabColor rgb="FFFF0000"/>
  </sheetPr>
  <dimension ref="A1:G101"/>
  <sheetViews>
    <sheetView topLeftCell="A22" workbookViewId="0">
      <selection activeCell="J91" sqref="J91"/>
    </sheetView>
  </sheetViews>
  <sheetFormatPr defaultRowHeight="12.75" x14ac:dyDescent="0.2"/>
  <cols>
    <col min="1" max="1" width="2.7109375" customWidth="1"/>
    <col min="2" max="2" width="0.7109375" customWidth="1"/>
    <col min="3" max="3" width="10.140625" bestFit="1" customWidth="1"/>
    <col min="4" max="4" width="5.42578125" customWidth="1"/>
    <col min="5" max="5" width="65.140625" customWidth="1"/>
    <col min="6" max="6" width="0.85546875" customWidth="1"/>
    <col min="7" max="7" width="17.5703125" customWidth="1"/>
    <col min="8" max="8" width="9.140625" customWidth="1"/>
  </cols>
  <sheetData>
    <row r="1" spans="1:7" ht="13.5" thickBot="1" x14ac:dyDescent="0.25"/>
    <row r="2" spans="1:7" ht="15.75" thickBot="1" x14ac:dyDescent="0.3">
      <c r="D2" s="303" t="s">
        <v>159</v>
      </c>
      <c r="E2" s="304"/>
    </row>
    <row r="4" spans="1:7" x14ac:dyDescent="0.2">
      <c r="A4" s="19"/>
      <c r="C4" s="305" t="s">
        <v>163</v>
      </c>
      <c r="D4" s="305"/>
    </row>
    <row r="5" spans="1:7" ht="13.5" thickBot="1" x14ac:dyDescent="0.25"/>
    <row r="6" spans="1:7" ht="15.75" thickBot="1" x14ac:dyDescent="0.3">
      <c r="C6" s="8" t="s">
        <v>1</v>
      </c>
      <c r="E6" s="8" t="s">
        <v>2</v>
      </c>
      <c r="F6" s="2"/>
      <c r="G6" s="8" t="s">
        <v>3</v>
      </c>
    </row>
    <row r="9" spans="1:7" x14ac:dyDescent="0.2">
      <c r="A9" s="5">
        <v>1</v>
      </c>
      <c r="C9" s="3">
        <v>40259</v>
      </c>
      <c r="D9" s="13" t="s">
        <v>139</v>
      </c>
      <c r="E9" s="15" t="s">
        <v>157</v>
      </c>
      <c r="G9" s="5" t="s">
        <v>158</v>
      </c>
    </row>
    <row r="11" spans="1:7" x14ac:dyDescent="0.2">
      <c r="A11" s="5">
        <v>2</v>
      </c>
      <c r="C11" s="3">
        <v>40265</v>
      </c>
      <c r="D11" s="13" t="s">
        <v>139</v>
      </c>
      <c r="E11" s="15" t="s">
        <v>157</v>
      </c>
      <c r="G11" s="5" t="s">
        <v>160</v>
      </c>
    </row>
    <row r="13" spans="1:7" x14ac:dyDescent="0.2">
      <c r="A13" s="18">
        <v>3</v>
      </c>
      <c r="B13" s="16"/>
      <c r="C13" s="3">
        <v>40282</v>
      </c>
      <c r="D13" s="13" t="s">
        <v>139</v>
      </c>
      <c r="E13" s="4" t="s">
        <v>161</v>
      </c>
      <c r="G13" s="17" t="s">
        <v>162</v>
      </c>
    </row>
    <row r="15" spans="1:7" x14ac:dyDescent="0.2">
      <c r="A15" s="18">
        <v>4</v>
      </c>
      <c r="C15" s="3">
        <v>40283</v>
      </c>
      <c r="D15" s="13" t="s">
        <v>139</v>
      </c>
      <c r="E15" s="4" t="s">
        <v>161</v>
      </c>
      <c r="G15" s="5" t="s">
        <v>162</v>
      </c>
    </row>
    <row r="17" spans="1:7" x14ac:dyDescent="0.2">
      <c r="A17" s="18">
        <v>5</v>
      </c>
      <c r="C17" s="3">
        <v>40284</v>
      </c>
      <c r="D17" s="13" t="s">
        <v>139</v>
      </c>
      <c r="E17" s="4" t="s">
        <v>161</v>
      </c>
      <c r="G17" s="5" t="s">
        <v>162</v>
      </c>
    </row>
    <row r="19" spans="1:7" x14ac:dyDescent="0.2">
      <c r="A19" s="20">
        <v>6</v>
      </c>
      <c r="C19" s="3">
        <v>40286</v>
      </c>
      <c r="D19" s="13" t="s">
        <v>139</v>
      </c>
      <c r="E19" s="4" t="s">
        <v>164</v>
      </c>
      <c r="G19" s="5" t="s">
        <v>165</v>
      </c>
    </row>
    <row r="21" spans="1:7" x14ac:dyDescent="0.2">
      <c r="A21" s="18">
        <v>7</v>
      </c>
      <c r="C21" s="3">
        <v>40287</v>
      </c>
      <c r="D21" s="13" t="s">
        <v>139</v>
      </c>
      <c r="E21" s="4" t="s">
        <v>161</v>
      </c>
      <c r="G21" s="5" t="s">
        <v>162</v>
      </c>
    </row>
    <row r="23" spans="1:7" x14ac:dyDescent="0.2">
      <c r="A23" s="18">
        <v>8</v>
      </c>
      <c r="C23" s="3">
        <v>40289</v>
      </c>
      <c r="D23" s="13" t="s">
        <v>139</v>
      </c>
      <c r="E23" s="4" t="s">
        <v>161</v>
      </c>
      <c r="G23" s="5" t="s">
        <v>162</v>
      </c>
    </row>
    <row r="25" spans="1:7" x14ac:dyDescent="0.2">
      <c r="A25" s="18">
        <v>9</v>
      </c>
      <c r="C25" s="3">
        <v>40291</v>
      </c>
      <c r="D25" s="13" t="s">
        <v>139</v>
      </c>
      <c r="E25" s="4" t="s">
        <v>161</v>
      </c>
      <c r="G25" s="5" t="s">
        <v>162</v>
      </c>
    </row>
    <row r="27" spans="1:7" x14ac:dyDescent="0.2">
      <c r="A27" s="18">
        <v>10</v>
      </c>
      <c r="C27" s="3">
        <v>40292</v>
      </c>
      <c r="D27" s="13" t="s">
        <v>139</v>
      </c>
      <c r="E27" s="4" t="s">
        <v>166</v>
      </c>
      <c r="G27" s="5" t="s">
        <v>167</v>
      </c>
    </row>
    <row r="29" spans="1:7" x14ac:dyDescent="0.2">
      <c r="A29" s="18">
        <v>11</v>
      </c>
      <c r="C29" s="3">
        <v>40296</v>
      </c>
      <c r="D29" s="13" t="s">
        <v>139</v>
      </c>
      <c r="E29" s="4" t="s">
        <v>161</v>
      </c>
      <c r="G29" s="5" t="s">
        <v>162</v>
      </c>
    </row>
    <row r="31" spans="1:7" x14ac:dyDescent="0.2">
      <c r="A31" s="18">
        <v>12</v>
      </c>
      <c r="C31" s="3">
        <v>40299</v>
      </c>
      <c r="D31" s="13" t="s">
        <v>139</v>
      </c>
      <c r="E31" s="4" t="s">
        <v>168</v>
      </c>
      <c r="G31" s="5" t="s">
        <v>169</v>
      </c>
    </row>
    <row r="33" spans="1:7" x14ac:dyDescent="0.2">
      <c r="A33" s="18">
        <v>13</v>
      </c>
      <c r="C33" s="3">
        <v>40300</v>
      </c>
      <c r="D33" s="13" t="s">
        <v>139</v>
      </c>
      <c r="E33" s="4" t="s">
        <v>170</v>
      </c>
      <c r="G33" s="5" t="s">
        <v>171</v>
      </c>
    </row>
    <row r="35" spans="1:7" x14ac:dyDescent="0.2">
      <c r="A35" s="18">
        <v>14</v>
      </c>
      <c r="C35" s="3">
        <v>40307</v>
      </c>
      <c r="D35" s="13" t="s">
        <v>139</v>
      </c>
      <c r="E35" s="4" t="s">
        <v>172</v>
      </c>
      <c r="G35" s="5" t="s">
        <v>73</v>
      </c>
    </row>
    <row r="37" spans="1:7" x14ac:dyDescent="0.2">
      <c r="A37" s="18">
        <v>15</v>
      </c>
      <c r="B37" s="16"/>
      <c r="C37" s="3">
        <v>40308</v>
      </c>
      <c r="D37" s="13" t="s">
        <v>139</v>
      </c>
      <c r="E37" s="4" t="s">
        <v>161</v>
      </c>
      <c r="G37" s="17" t="s">
        <v>162</v>
      </c>
    </row>
    <row r="39" spans="1:7" x14ac:dyDescent="0.2">
      <c r="A39" s="18">
        <v>16</v>
      </c>
      <c r="B39" s="16"/>
      <c r="C39" s="3">
        <v>40315</v>
      </c>
      <c r="D39" s="13" t="s">
        <v>139</v>
      </c>
      <c r="E39" s="4" t="s">
        <v>161</v>
      </c>
      <c r="G39" s="17" t="s">
        <v>162</v>
      </c>
    </row>
    <row r="41" spans="1:7" x14ac:dyDescent="0.2">
      <c r="A41" s="18">
        <v>17</v>
      </c>
      <c r="B41" s="16"/>
      <c r="C41" s="3">
        <v>40316</v>
      </c>
      <c r="D41" s="13" t="s">
        <v>139</v>
      </c>
      <c r="E41" s="4" t="s">
        <v>161</v>
      </c>
      <c r="G41" s="17" t="s">
        <v>162</v>
      </c>
    </row>
    <row r="43" spans="1:7" x14ac:dyDescent="0.2">
      <c r="A43" s="18">
        <v>18</v>
      </c>
      <c r="B43" s="16"/>
      <c r="C43" s="3">
        <v>40321</v>
      </c>
      <c r="D43" s="13" t="s">
        <v>139</v>
      </c>
      <c r="E43" s="4" t="s">
        <v>161</v>
      </c>
      <c r="G43" s="17" t="s">
        <v>173</v>
      </c>
    </row>
    <row r="45" spans="1:7" x14ac:dyDescent="0.2">
      <c r="A45" s="29">
        <v>19</v>
      </c>
      <c r="B45" s="16"/>
      <c r="C45" s="26">
        <v>40321</v>
      </c>
      <c r="D45" s="13" t="s">
        <v>139</v>
      </c>
      <c r="E45" s="25" t="s">
        <v>174</v>
      </c>
      <c r="G45" s="28" t="s">
        <v>175</v>
      </c>
    </row>
    <row r="47" spans="1:7" x14ac:dyDescent="0.2">
      <c r="A47" s="20">
        <v>20</v>
      </c>
      <c r="B47" s="16"/>
      <c r="C47" s="3">
        <v>40322</v>
      </c>
      <c r="D47" s="13" t="s">
        <v>139</v>
      </c>
      <c r="E47" s="4" t="s">
        <v>176</v>
      </c>
      <c r="G47" s="17" t="s">
        <v>177</v>
      </c>
    </row>
    <row r="49" spans="1:7" x14ac:dyDescent="0.2">
      <c r="A49" s="25">
        <v>21</v>
      </c>
      <c r="C49" s="26">
        <v>40332</v>
      </c>
      <c r="D49" s="13" t="s">
        <v>139</v>
      </c>
      <c r="E49" s="25" t="s">
        <v>178</v>
      </c>
      <c r="G49" s="29" t="s">
        <v>179</v>
      </c>
    </row>
    <row r="51" spans="1:7" x14ac:dyDescent="0.2">
      <c r="A51" s="25">
        <v>22</v>
      </c>
      <c r="C51" s="26">
        <v>40334</v>
      </c>
      <c r="D51" s="13" t="s">
        <v>139</v>
      </c>
      <c r="E51" s="25" t="s">
        <v>180</v>
      </c>
      <c r="G51" s="29" t="s">
        <v>179</v>
      </c>
    </row>
    <row r="53" spans="1:7" x14ac:dyDescent="0.2">
      <c r="A53" s="21">
        <v>23</v>
      </c>
      <c r="C53" s="22">
        <v>40335</v>
      </c>
      <c r="D53" s="13" t="s">
        <v>139</v>
      </c>
      <c r="E53" s="21" t="s">
        <v>181</v>
      </c>
      <c r="G53" s="20" t="s">
        <v>182</v>
      </c>
    </row>
    <row r="55" spans="1:7" x14ac:dyDescent="0.2">
      <c r="A55" s="21">
        <v>24</v>
      </c>
      <c r="C55" s="22">
        <v>40348</v>
      </c>
      <c r="D55" s="13" t="s">
        <v>139</v>
      </c>
      <c r="E55" s="21" t="s">
        <v>183</v>
      </c>
      <c r="G55" s="20" t="s">
        <v>184</v>
      </c>
    </row>
    <row r="57" spans="1:7" x14ac:dyDescent="0.2">
      <c r="A57" s="21">
        <v>25</v>
      </c>
      <c r="C57" s="22">
        <v>40349</v>
      </c>
      <c r="D57" s="13" t="s">
        <v>139</v>
      </c>
      <c r="E57" s="21" t="s">
        <v>185</v>
      </c>
      <c r="G57" s="20" t="s">
        <v>71</v>
      </c>
    </row>
    <row r="59" spans="1:7" x14ac:dyDescent="0.2">
      <c r="A59" s="21">
        <v>26</v>
      </c>
      <c r="C59" s="22">
        <v>40352</v>
      </c>
      <c r="D59" s="13" t="s">
        <v>139</v>
      </c>
      <c r="E59" s="21" t="s">
        <v>186</v>
      </c>
      <c r="G59" s="20" t="s">
        <v>71</v>
      </c>
    </row>
    <row r="61" spans="1:7" x14ac:dyDescent="0.2">
      <c r="A61" s="21">
        <v>27</v>
      </c>
      <c r="C61" s="22">
        <v>40353</v>
      </c>
      <c r="D61" s="13" t="s">
        <v>139</v>
      </c>
      <c r="E61" s="21" t="s">
        <v>187</v>
      </c>
      <c r="G61" s="20" t="s">
        <v>93</v>
      </c>
    </row>
    <row r="63" spans="1:7" x14ac:dyDescent="0.2">
      <c r="A63" s="23">
        <v>28</v>
      </c>
      <c r="C63" s="22">
        <v>40363</v>
      </c>
      <c r="D63" s="13" t="s">
        <v>139</v>
      </c>
      <c r="E63" s="21" t="s">
        <v>188</v>
      </c>
      <c r="G63" s="20" t="s">
        <v>189</v>
      </c>
    </row>
    <row r="65" spans="1:7" x14ac:dyDescent="0.2">
      <c r="A65" s="23">
        <v>29</v>
      </c>
      <c r="C65" s="22">
        <v>40384</v>
      </c>
      <c r="D65" s="13" t="s">
        <v>139</v>
      </c>
      <c r="E65" s="21" t="s">
        <v>188</v>
      </c>
      <c r="G65" s="20" t="s">
        <v>190</v>
      </c>
    </row>
    <row r="67" spans="1:7" x14ac:dyDescent="0.2">
      <c r="A67" s="25">
        <v>30</v>
      </c>
      <c r="C67" s="26">
        <v>40390</v>
      </c>
      <c r="D67" s="24"/>
      <c r="E67" s="27" t="s">
        <v>193</v>
      </c>
      <c r="G67" s="28" t="s">
        <v>194</v>
      </c>
    </row>
    <row r="69" spans="1:7" x14ac:dyDescent="0.2">
      <c r="A69" s="25">
        <v>31</v>
      </c>
      <c r="C69" s="26">
        <v>40394</v>
      </c>
      <c r="D69" s="13" t="s">
        <v>139</v>
      </c>
      <c r="E69" s="25" t="s">
        <v>191</v>
      </c>
      <c r="G69" s="29" t="s">
        <v>192</v>
      </c>
    </row>
    <row r="71" spans="1:7" x14ac:dyDescent="0.2">
      <c r="A71" s="21">
        <v>32</v>
      </c>
      <c r="C71" s="22">
        <v>40400</v>
      </c>
      <c r="D71" s="13" t="s">
        <v>139</v>
      </c>
      <c r="E71" s="21" t="s">
        <v>195</v>
      </c>
      <c r="G71" s="20" t="s">
        <v>196</v>
      </c>
    </row>
    <row r="73" spans="1:7" x14ac:dyDescent="0.2">
      <c r="A73" s="23">
        <v>33</v>
      </c>
      <c r="C73" s="22">
        <v>40404</v>
      </c>
      <c r="D73" s="13" t="s">
        <v>139</v>
      </c>
      <c r="E73" s="21" t="s">
        <v>188</v>
      </c>
      <c r="G73" s="20" t="s">
        <v>197</v>
      </c>
    </row>
    <row r="75" spans="1:7" x14ac:dyDescent="0.2">
      <c r="A75" s="23">
        <v>34</v>
      </c>
      <c r="C75" s="22">
        <v>40419</v>
      </c>
      <c r="D75" s="13" t="s">
        <v>139</v>
      </c>
      <c r="E75" s="21" t="s">
        <v>188</v>
      </c>
      <c r="G75" s="20" t="s">
        <v>189</v>
      </c>
    </row>
    <row r="77" spans="1:7" x14ac:dyDescent="0.2">
      <c r="A77" s="23">
        <v>35</v>
      </c>
      <c r="C77" s="22">
        <v>40425</v>
      </c>
      <c r="D77" s="13" t="s">
        <v>139</v>
      </c>
      <c r="E77" s="21" t="s">
        <v>188</v>
      </c>
      <c r="G77" s="20" t="s">
        <v>190</v>
      </c>
    </row>
    <row r="79" spans="1:7" x14ac:dyDescent="0.2">
      <c r="A79" s="25">
        <v>36</v>
      </c>
      <c r="C79" s="26">
        <v>40431</v>
      </c>
      <c r="D79" s="24"/>
      <c r="E79" s="25" t="s">
        <v>198</v>
      </c>
      <c r="G79" s="29" t="s">
        <v>199</v>
      </c>
    </row>
    <row r="81" spans="1:7" x14ac:dyDescent="0.2">
      <c r="A81" s="25">
        <v>37</v>
      </c>
      <c r="C81" s="26">
        <v>40431</v>
      </c>
      <c r="D81" s="24"/>
      <c r="E81" s="25" t="s">
        <v>201</v>
      </c>
      <c r="G81" s="29" t="s">
        <v>200</v>
      </c>
    </row>
    <row r="82" spans="1:7" x14ac:dyDescent="0.2">
      <c r="D82" s="24"/>
    </row>
    <row r="83" spans="1:7" x14ac:dyDescent="0.2">
      <c r="A83" s="25">
        <v>38</v>
      </c>
      <c r="C83" s="26">
        <v>40448</v>
      </c>
      <c r="D83" s="24"/>
      <c r="E83" s="25" t="s">
        <v>202</v>
      </c>
      <c r="G83" s="29" t="s">
        <v>203</v>
      </c>
    </row>
    <row r="84" spans="1:7" x14ac:dyDescent="0.2">
      <c r="D84" s="24"/>
    </row>
    <row r="85" spans="1:7" x14ac:dyDescent="0.2">
      <c r="A85" s="25">
        <v>39</v>
      </c>
      <c r="C85" s="26">
        <v>40467</v>
      </c>
      <c r="D85" s="13" t="s">
        <v>139</v>
      </c>
      <c r="E85" s="25" t="s">
        <v>205</v>
      </c>
      <c r="G85" s="29" t="s">
        <v>204</v>
      </c>
    </row>
    <row r="87" spans="1:7" x14ac:dyDescent="0.2">
      <c r="A87" s="25">
        <v>40</v>
      </c>
      <c r="C87" s="26">
        <v>40471</v>
      </c>
      <c r="D87" s="24"/>
      <c r="E87" s="25" t="s">
        <v>207</v>
      </c>
      <c r="G87" s="29" t="s">
        <v>206</v>
      </c>
    </row>
    <row r="89" spans="1:7" x14ac:dyDescent="0.2">
      <c r="A89" s="25">
        <v>41</v>
      </c>
      <c r="C89" s="26">
        <v>40472</v>
      </c>
      <c r="D89" s="24"/>
      <c r="E89" s="25" t="s">
        <v>208</v>
      </c>
      <c r="G89" s="29" t="s">
        <v>209</v>
      </c>
    </row>
    <row r="91" spans="1:7" x14ac:dyDescent="0.2">
      <c r="A91" s="23">
        <v>42</v>
      </c>
      <c r="C91" s="22">
        <v>40474</v>
      </c>
      <c r="D91" s="13" t="s">
        <v>139</v>
      </c>
      <c r="E91" s="30" t="s">
        <v>210</v>
      </c>
      <c r="G91" s="20" t="s">
        <v>211</v>
      </c>
    </row>
    <row r="93" spans="1:7" x14ac:dyDescent="0.2">
      <c r="A93" s="23">
        <v>43</v>
      </c>
      <c r="C93" s="22">
        <v>40481</v>
      </c>
      <c r="D93" s="13" t="s">
        <v>139</v>
      </c>
      <c r="E93" s="30" t="s">
        <v>210</v>
      </c>
      <c r="G93" s="20" t="s">
        <v>211</v>
      </c>
    </row>
    <row r="95" spans="1:7" x14ac:dyDescent="0.2">
      <c r="A95" s="23">
        <v>44</v>
      </c>
      <c r="C95" s="22">
        <v>40483</v>
      </c>
      <c r="D95" s="13" t="s">
        <v>139</v>
      </c>
      <c r="E95" s="30" t="s">
        <v>210</v>
      </c>
      <c r="G95" s="20" t="s">
        <v>211</v>
      </c>
    </row>
    <row r="97" spans="1:7" x14ac:dyDescent="0.2">
      <c r="A97" s="23">
        <v>45</v>
      </c>
      <c r="C97" s="22">
        <v>40484</v>
      </c>
      <c r="D97" s="13" t="s">
        <v>139</v>
      </c>
      <c r="E97" s="30" t="s">
        <v>210</v>
      </c>
      <c r="G97" s="20" t="s">
        <v>162</v>
      </c>
    </row>
    <row r="99" spans="1:7" x14ac:dyDescent="0.2">
      <c r="A99" s="23">
        <v>46</v>
      </c>
      <c r="C99" s="22">
        <v>40496</v>
      </c>
      <c r="D99" s="13" t="s">
        <v>139</v>
      </c>
      <c r="E99" s="30" t="s">
        <v>212</v>
      </c>
      <c r="G99" s="20" t="s">
        <v>213</v>
      </c>
    </row>
    <row r="101" spans="1:7" x14ac:dyDescent="0.2">
      <c r="A101" s="23">
        <v>47</v>
      </c>
      <c r="C101" s="22">
        <v>40512</v>
      </c>
      <c r="D101" s="24"/>
      <c r="E101" s="30" t="s">
        <v>214</v>
      </c>
      <c r="G101" s="20" t="s">
        <v>20</v>
      </c>
    </row>
  </sheetData>
  <mergeCells count="2">
    <mergeCell ref="D2:E2"/>
    <mergeCell ref="C4:D4"/>
  </mergeCells>
  <pageMargins left="0.23" right="0.13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6729-7696-44F8-B65A-E5A5F7FDE00F}">
  <dimension ref="A1:I86"/>
  <sheetViews>
    <sheetView topLeftCell="A79" workbookViewId="0">
      <selection activeCell="A9" sqref="A9:G86"/>
    </sheetView>
  </sheetViews>
  <sheetFormatPr defaultRowHeight="12.75" x14ac:dyDescent="0.2"/>
  <cols>
    <col min="1" max="1" width="2.7109375" style="2" customWidth="1"/>
    <col min="2" max="2" width="0.7109375" customWidth="1"/>
    <col min="3" max="3" width="10.140625" bestFit="1" customWidth="1"/>
    <col min="4" max="4" width="5" customWidth="1"/>
    <col min="5" max="5" width="65.140625" customWidth="1"/>
    <col min="6" max="6" width="0.85546875" customWidth="1"/>
    <col min="7" max="7" width="11.85546875" customWidth="1"/>
    <col min="8" max="8" width="0.85546875" hidden="1" customWidth="1"/>
    <col min="9" max="9" width="5.7109375" style="39" customWidth="1"/>
  </cols>
  <sheetData>
    <row r="1" spans="1:9" ht="13.5" thickBot="1" x14ac:dyDescent="0.25"/>
    <row r="2" spans="1:9" ht="15.75" thickBot="1" x14ac:dyDescent="0.3">
      <c r="D2" s="303" t="s">
        <v>215</v>
      </c>
      <c r="E2" s="304"/>
    </row>
    <row r="4" spans="1:9" x14ac:dyDescent="0.2">
      <c r="A4" s="32"/>
      <c r="C4" s="305" t="s">
        <v>163</v>
      </c>
      <c r="D4" s="305"/>
    </row>
    <row r="5" spans="1:9" ht="13.5" thickBot="1" x14ac:dyDescent="0.25"/>
    <row r="6" spans="1:9" ht="15.75" thickBot="1" x14ac:dyDescent="0.3">
      <c r="C6" s="8" t="s">
        <v>1</v>
      </c>
      <c r="E6" s="8" t="s">
        <v>2</v>
      </c>
      <c r="F6" s="2"/>
      <c r="G6" s="8" t="s">
        <v>279</v>
      </c>
      <c r="H6" s="38"/>
      <c r="I6" s="40"/>
    </row>
    <row r="9" spans="1:9" x14ac:dyDescent="0.2">
      <c r="A9" s="5">
        <v>1</v>
      </c>
      <c r="C9" s="3">
        <v>40587</v>
      </c>
      <c r="D9" s="13" t="s">
        <v>139</v>
      </c>
      <c r="E9" s="4" t="s">
        <v>132</v>
      </c>
      <c r="G9" s="5" t="s">
        <v>190</v>
      </c>
      <c r="H9" s="2"/>
    </row>
    <row r="11" spans="1:9" x14ac:dyDescent="0.2">
      <c r="A11" s="5">
        <v>2</v>
      </c>
      <c r="C11" s="3">
        <v>40621</v>
      </c>
      <c r="D11" s="31" t="s">
        <v>139</v>
      </c>
      <c r="E11" s="4" t="s">
        <v>216</v>
      </c>
      <c r="G11" s="5" t="s">
        <v>217</v>
      </c>
      <c r="H11" s="2"/>
    </row>
    <row r="13" spans="1:9" x14ac:dyDescent="0.2">
      <c r="A13" s="5">
        <v>3</v>
      </c>
      <c r="C13" s="3">
        <v>40622</v>
      </c>
      <c r="D13" s="31" t="s">
        <v>139</v>
      </c>
      <c r="E13" s="4" t="s">
        <v>216</v>
      </c>
      <c r="G13" s="5" t="s">
        <v>218</v>
      </c>
      <c r="H13" s="2"/>
    </row>
    <row r="15" spans="1:9" x14ac:dyDescent="0.2">
      <c r="A15" s="20">
        <v>4</v>
      </c>
      <c r="B15" s="33"/>
      <c r="C15" s="22">
        <v>40641</v>
      </c>
      <c r="D15" s="24"/>
      <c r="E15" s="21" t="s">
        <v>219</v>
      </c>
      <c r="F15" s="33"/>
      <c r="G15" s="20" t="s">
        <v>220</v>
      </c>
      <c r="H15" s="2"/>
    </row>
    <row r="17" spans="1:8" x14ac:dyDescent="0.2">
      <c r="A17" s="20">
        <v>5</v>
      </c>
      <c r="B17" s="33"/>
      <c r="C17" s="22">
        <v>40670</v>
      </c>
      <c r="D17" s="13" t="s">
        <v>139</v>
      </c>
      <c r="E17" s="21" t="s">
        <v>221</v>
      </c>
      <c r="F17" s="33"/>
      <c r="G17" s="20" t="s">
        <v>222</v>
      </c>
      <c r="H17" s="2"/>
    </row>
    <row r="19" spans="1:8" x14ac:dyDescent="0.2">
      <c r="A19" s="20">
        <v>6</v>
      </c>
      <c r="B19" s="33"/>
      <c r="C19" s="22">
        <v>40671</v>
      </c>
      <c r="D19" s="13" t="s">
        <v>139</v>
      </c>
      <c r="E19" s="21" t="s">
        <v>223</v>
      </c>
      <c r="F19" s="33"/>
      <c r="G19" s="20" t="s">
        <v>224</v>
      </c>
      <c r="H19" s="2"/>
    </row>
    <row r="21" spans="1:8" x14ac:dyDescent="0.2">
      <c r="A21" s="20">
        <v>7</v>
      </c>
      <c r="B21" s="16"/>
      <c r="C21" s="3">
        <v>40686</v>
      </c>
      <c r="D21" s="13" t="s">
        <v>227</v>
      </c>
      <c r="E21" s="4" t="s">
        <v>225</v>
      </c>
      <c r="G21" s="17" t="s">
        <v>226</v>
      </c>
      <c r="H21" s="37"/>
    </row>
    <row r="23" spans="1:8" x14ac:dyDescent="0.2">
      <c r="A23" s="20">
        <v>8</v>
      </c>
      <c r="B23" s="16"/>
      <c r="C23" s="3">
        <v>40687</v>
      </c>
      <c r="D23" s="13" t="s">
        <v>227</v>
      </c>
      <c r="E23" s="4" t="s">
        <v>176</v>
      </c>
      <c r="G23" s="17" t="s">
        <v>228</v>
      </c>
      <c r="H23" s="37"/>
    </row>
    <row r="25" spans="1:8" x14ac:dyDescent="0.2">
      <c r="A25" s="20">
        <v>9</v>
      </c>
      <c r="B25" s="16"/>
      <c r="C25" s="3">
        <v>40691</v>
      </c>
      <c r="D25" s="13" t="s">
        <v>227</v>
      </c>
      <c r="E25" s="4" t="s">
        <v>230</v>
      </c>
      <c r="G25" s="17" t="s">
        <v>229</v>
      </c>
      <c r="H25" s="37"/>
    </row>
    <row r="27" spans="1:8" x14ac:dyDescent="0.2">
      <c r="A27" s="35">
        <v>10</v>
      </c>
      <c r="C27" s="34">
        <v>40700</v>
      </c>
      <c r="D27" s="13" t="s">
        <v>139</v>
      </c>
      <c r="E27" s="30" t="s">
        <v>231</v>
      </c>
      <c r="G27" s="35" t="s">
        <v>232</v>
      </c>
      <c r="H27" s="37"/>
    </row>
    <row r="29" spans="1:8" x14ac:dyDescent="0.2">
      <c r="A29" s="35">
        <v>11</v>
      </c>
      <c r="C29" s="34">
        <v>40701</v>
      </c>
      <c r="D29" s="13" t="s">
        <v>139</v>
      </c>
      <c r="E29" s="30" t="s">
        <v>233</v>
      </c>
      <c r="G29" s="35" t="s">
        <v>234</v>
      </c>
      <c r="H29" s="37"/>
    </row>
    <row r="31" spans="1:8" x14ac:dyDescent="0.2">
      <c r="A31" s="35">
        <v>12</v>
      </c>
      <c r="C31" s="34">
        <v>40703</v>
      </c>
      <c r="D31" s="13" t="s">
        <v>139</v>
      </c>
      <c r="E31" s="30" t="s">
        <v>235</v>
      </c>
      <c r="G31" s="35" t="s">
        <v>236</v>
      </c>
      <c r="H31" s="37"/>
    </row>
    <row r="33" spans="1:8" x14ac:dyDescent="0.2">
      <c r="A33" s="35">
        <v>13</v>
      </c>
      <c r="C33" s="34">
        <v>40714</v>
      </c>
      <c r="E33" s="30" t="s">
        <v>237</v>
      </c>
      <c r="G33" s="35" t="s">
        <v>241</v>
      </c>
      <c r="H33" s="37"/>
    </row>
    <row r="35" spans="1:8" x14ac:dyDescent="0.2">
      <c r="A35" s="35">
        <v>14</v>
      </c>
      <c r="C35" s="34">
        <v>40714</v>
      </c>
      <c r="D35" s="13" t="s">
        <v>244</v>
      </c>
      <c r="E35" s="21" t="s">
        <v>185</v>
      </c>
      <c r="G35" s="35" t="s">
        <v>238</v>
      </c>
      <c r="H35" s="37"/>
    </row>
    <row r="37" spans="1:8" x14ac:dyDescent="0.2">
      <c r="A37" s="35">
        <v>15</v>
      </c>
      <c r="C37" s="34">
        <v>40715</v>
      </c>
      <c r="E37" s="21" t="s">
        <v>239</v>
      </c>
      <c r="G37" s="35" t="s">
        <v>240</v>
      </c>
      <c r="H37" s="37"/>
    </row>
    <row r="39" spans="1:8" x14ac:dyDescent="0.2">
      <c r="A39" s="35">
        <v>16</v>
      </c>
      <c r="C39" s="34">
        <v>40716</v>
      </c>
      <c r="E39" s="21" t="s">
        <v>242</v>
      </c>
      <c r="G39" s="35" t="s">
        <v>243</v>
      </c>
      <c r="H39" s="37"/>
    </row>
    <row r="41" spans="1:8" x14ac:dyDescent="0.2">
      <c r="A41" s="21">
        <v>17</v>
      </c>
      <c r="C41" s="22">
        <v>40717</v>
      </c>
      <c r="D41" s="13" t="s">
        <v>244</v>
      </c>
      <c r="E41" s="21" t="s">
        <v>246</v>
      </c>
      <c r="G41" s="20" t="s">
        <v>245</v>
      </c>
      <c r="H41" s="2"/>
    </row>
    <row r="43" spans="1:8" x14ac:dyDescent="0.2">
      <c r="A43" s="21">
        <v>18</v>
      </c>
      <c r="C43" s="311">
        <v>40718</v>
      </c>
      <c r="D43" s="13" t="s">
        <v>244</v>
      </c>
      <c r="E43" s="21" t="s">
        <v>247</v>
      </c>
      <c r="G43" s="20" t="s">
        <v>199</v>
      </c>
      <c r="H43" s="2"/>
    </row>
    <row r="44" spans="1:8" x14ac:dyDescent="0.2">
      <c r="A44" s="21">
        <v>19</v>
      </c>
      <c r="C44" s="312"/>
      <c r="D44" s="13" t="s">
        <v>244</v>
      </c>
      <c r="E44" s="21" t="s">
        <v>248</v>
      </c>
      <c r="G44" s="20" t="s">
        <v>249</v>
      </c>
      <c r="H44" s="2"/>
    </row>
    <row r="46" spans="1:8" x14ac:dyDescent="0.2">
      <c r="A46" s="21">
        <v>20</v>
      </c>
      <c r="C46" s="311">
        <v>40719</v>
      </c>
      <c r="D46" s="314" t="s">
        <v>244</v>
      </c>
      <c r="E46" s="21" t="s">
        <v>251</v>
      </c>
      <c r="G46" s="20" t="s">
        <v>250</v>
      </c>
      <c r="H46" s="2"/>
    </row>
    <row r="47" spans="1:8" x14ac:dyDescent="0.2">
      <c r="A47" s="20">
        <v>21</v>
      </c>
      <c r="C47" s="313"/>
      <c r="D47" s="315"/>
      <c r="E47" s="21" t="s">
        <v>252</v>
      </c>
      <c r="G47" s="20" t="s">
        <v>253</v>
      </c>
      <c r="H47" s="2"/>
    </row>
    <row r="48" spans="1:8" x14ac:dyDescent="0.2">
      <c r="A48" s="20">
        <v>22</v>
      </c>
      <c r="C48" s="313"/>
      <c r="D48" s="315"/>
      <c r="E48" s="21" t="s">
        <v>254</v>
      </c>
      <c r="G48" s="20" t="s">
        <v>255</v>
      </c>
      <c r="H48" s="2"/>
    </row>
    <row r="49" spans="1:8" x14ac:dyDescent="0.2">
      <c r="A49" s="20">
        <v>23</v>
      </c>
      <c r="C49" s="312"/>
      <c r="D49" s="315"/>
      <c r="E49" s="21" t="s">
        <v>256</v>
      </c>
      <c r="G49" s="20" t="s">
        <v>257</v>
      </c>
      <c r="H49" s="2"/>
    </row>
    <row r="51" spans="1:8" x14ac:dyDescent="0.2">
      <c r="A51" s="20">
        <v>24</v>
      </c>
      <c r="C51" s="22">
        <v>40720</v>
      </c>
      <c r="D51" s="13" t="s">
        <v>244</v>
      </c>
      <c r="E51" s="30" t="s">
        <v>259</v>
      </c>
      <c r="G51" s="35" t="s">
        <v>258</v>
      </c>
      <c r="H51" s="37"/>
    </row>
    <row r="53" spans="1:8" x14ac:dyDescent="0.2">
      <c r="A53" s="35">
        <v>25</v>
      </c>
      <c r="C53" s="34">
        <v>40722</v>
      </c>
      <c r="E53" s="21" t="s">
        <v>260</v>
      </c>
      <c r="G53" s="35" t="s">
        <v>261</v>
      </c>
      <c r="H53" s="37"/>
    </row>
    <row r="55" spans="1:8" x14ac:dyDescent="0.2">
      <c r="A55" s="35">
        <v>26</v>
      </c>
      <c r="C55" s="34">
        <v>40728</v>
      </c>
      <c r="E55" s="30" t="s">
        <v>235</v>
      </c>
      <c r="G55" s="35" t="s">
        <v>262</v>
      </c>
      <c r="H55" s="37"/>
    </row>
    <row r="57" spans="1:8" x14ac:dyDescent="0.2">
      <c r="A57" s="35">
        <v>27</v>
      </c>
      <c r="C57" s="309">
        <v>40743</v>
      </c>
      <c r="E57" s="30" t="s">
        <v>263</v>
      </c>
      <c r="G57" s="35" t="s">
        <v>264</v>
      </c>
      <c r="H57" s="37"/>
    </row>
    <row r="58" spans="1:8" x14ac:dyDescent="0.2">
      <c r="A58" s="35">
        <v>28</v>
      </c>
      <c r="C58" s="310"/>
      <c r="D58" s="36" t="s">
        <v>267</v>
      </c>
      <c r="E58" s="30" t="s">
        <v>266</v>
      </c>
      <c r="G58" s="35" t="s">
        <v>265</v>
      </c>
      <c r="H58" s="37"/>
    </row>
    <row r="60" spans="1:8" x14ac:dyDescent="0.2">
      <c r="A60" s="35">
        <v>29</v>
      </c>
      <c r="C60" s="34">
        <v>40753</v>
      </c>
      <c r="D60" s="36" t="s">
        <v>267</v>
      </c>
      <c r="E60" s="30" t="s">
        <v>268</v>
      </c>
      <c r="G60" s="35" t="s">
        <v>269</v>
      </c>
      <c r="H60" s="37"/>
    </row>
    <row r="62" spans="1:8" x14ac:dyDescent="0.2">
      <c r="A62" s="35">
        <v>30</v>
      </c>
      <c r="C62" s="34">
        <v>40802</v>
      </c>
      <c r="E62" s="21" t="s">
        <v>270</v>
      </c>
      <c r="G62" s="35" t="s">
        <v>271</v>
      </c>
      <c r="H62" s="37"/>
    </row>
    <row r="64" spans="1:8" x14ac:dyDescent="0.2">
      <c r="A64" s="35">
        <v>31</v>
      </c>
      <c r="C64" s="34">
        <v>40803</v>
      </c>
      <c r="E64" s="21" t="s">
        <v>272</v>
      </c>
      <c r="G64" s="35" t="s">
        <v>273</v>
      </c>
      <c r="H64" s="37"/>
    </row>
    <row r="66" spans="1:8" x14ac:dyDescent="0.2">
      <c r="A66" s="35">
        <v>32</v>
      </c>
      <c r="C66" s="34">
        <v>40810</v>
      </c>
      <c r="D66" s="13" t="s">
        <v>139</v>
      </c>
      <c r="E66" s="30" t="s">
        <v>274</v>
      </c>
      <c r="G66" s="35" t="s">
        <v>275</v>
      </c>
      <c r="H66" s="37"/>
    </row>
    <row r="68" spans="1:8" x14ac:dyDescent="0.2">
      <c r="A68" s="35">
        <v>33</v>
      </c>
      <c r="C68" s="309">
        <v>40838</v>
      </c>
      <c r="D68" s="306" t="s">
        <v>278</v>
      </c>
      <c r="E68" s="307" t="s">
        <v>210</v>
      </c>
      <c r="G68" s="35" t="s">
        <v>276</v>
      </c>
      <c r="H68" s="37"/>
    </row>
    <row r="69" spans="1:8" x14ac:dyDescent="0.2">
      <c r="A69" s="35">
        <v>34</v>
      </c>
      <c r="C69" s="310"/>
      <c r="D69" s="306"/>
      <c r="E69" s="308"/>
      <c r="G69" s="35" t="s">
        <v>37</v>
      </c>
      <c r="H69" s="37"/>
    </row>
    <row r="70" spans="1:8" x14ac:dyDescent="0.2">
      <c r="E70" s="46"/>
    </row>
    <row r="71" spans="1:8" x14ac:dyDescent="0.2">
      <c r="A71" s="35">
        <v>35</v>
      </c>
      <c r="C71" s="309">
        <v>40845</v>
      </c>
      <c r="D71" s="306" t="s">
        <v>278</v>
      </c>
      <c r="E71" s="307" t="s">
        <v>210</v>
      </c>
      <c r="G71" s="35" t="s">
        <v>276</v>
      </c>
      <c r="H71" s="37"/>
    </row>
    <row r="72" spans="1:8" x14ac:dyDescent="0.2">
      <c r="A72" s="35">
        <v>36</v>
      </c>
      <c r="C72" s="310"/>
      <c r="D72" s="306"/>
      <c r="E72" s="308"/>
      <c r="G72" s="35" t="s">
        <v>277</v>
      </c>
      <c r="H72" s="37"/>
    </row>
    <row r="73" spans="1:8" x14ac:dyDescent="0.2">
      <c r="E73" s="46"/>
    </row>
    <row r="74" spans="1:8" x14ac:dyDescent="0.2">
      <c r="A74" s="35">
        <v>37</v>
      </c>
      <c r="C74" s="309">
        <v>40847</v>
      </c>
      <c r="D74" s="306" t="s">
        <v>278</v>
      </c>
      <c r="E74" s="307" t="s">
        <v>210</v>
      </c>
      <c r="G74" s="35" t="s">
        <v>276</v>
      </c>
      <c r="H74" s="37"/>
    </row>
    <row r="75" spans="1:8" x14ac:dyDescent="0.2">
      <c r="A75" s="35">
        <v>38</v>
      </c>
      <c r="C75" s="310"/>
      <c r="D75" s="306"/>
      <c r="E75" s="308"/>
      <c r="G75" s="35" t="s">
        <v>277</v>
      </c>
      <c r="H75" s="37"/>
    </row>
    <row r="76" spans="1:8" x14ac:dyDescent="0.2">
      <c r="E76" s="46"/>
    </row>
    <row r="77" spans="1:8" x14ac:dyDescent="0.2">
      <c r="A77" s="35">
        <v>39</v>
      </c>
      <c r="C77" s="309">
        <v>40848</v>
      </c>
      <c r="D77" s="306" t="s">
        <v>278</v>
      </c>
      <c r="E77" s="307" t="s">
        <v>210</v>
      </c>
      <c r="G77" s="35" t="s">
        <v>276</v>
      </c>
      <c r="H77" s="37"/>
    </row>
    <row r="78" spans="1:8" x14ac:dyDescent="0.2">
      <c r="A78" s="35">
        <v>40</v>
      </c>
      <c r="C78" s="310"/>
      <c r="D78" s="306"/>
      <c r="E78" s="308"/>
      <c r="G78" s="35" t="s">
        <v>141</v>
      </c>
      <c r="H78" s="37"/>
    </row>
    <row r="79" spans="1:8" x14ac:dyDescent="0.2">
      <c r="E79" s="46"/>
    </row>
    <row r="80" spans="1:8" x14ac:dyDescent="0.2">
      <c r="A80" s="35">
        <v>41</v>
      </c>
      <c r="C80" s="309">
        <v>40849</v>
      </c>
      <c r="D80" s="306" t="s">
        <v>278</v>
      </c>
      <c r="E80" s="307" t="s">
        <v>210</v>
      </c>
      <c r="G80" s="35" t="s">
        <v>276</v>
      </c>
      <c r="H80" s="37"/>
    </row>
    <row r="81" spans="1:8" x14ac:dyDescent="0.2">
      <c r="A81" s="35">
        <v>42</v>
      </c>
      <c r="C81" s="310"/>
      <c r="D81" s="306"/>
      <c r="E81" s="308"/>
      <c r="G81" s="35" t="s">
        <v>277</v>
      </c>
      <c r="H81" s="37"/>
    </row>
    <row r="83" spans="1:8" x14ac:dyDescent="0.2">
      <c r="A83" s="35">
        <v>43</v>
      </c>
      <c r="C83" s="34">
        <v>40862</v>
      </c>
      <c r="D83" s="13" t="s">
        <v>139</v>
      </c>
      <c r="E83" s="30" t="s">
        <v>280</v>
      </c>
      <c r="G83" s="35" t="s">
        <v>281</v>
      </c>
    </row>
    <row r="85" spans="1:8" x14ac:dyDescent="0.2">
      <c r="A85" s="35">
        <v>44</v>
      </c>
      <c r="C85" s="309">
        <v>40868</v>
      </c>
      <c r="D85" s="306" t="s">
        <v>278</v>
      </c>
      <c r="E85" s="307" t="s">
        <v>282</v>
      </c>
      <c r="G85" s="35" t="s">
        <v>283</v>
      </c>
      <c r="H85" s="37"/>
    </row>
    <row r="86" spans="1:8" x14ac:dyDescent="0.2">
      <c r="A86" s="35">
        <v>45</v>
      </c>
      <c r="C86" s="310"/>
      <c r="D86" s="306"/>
      <c r="E86" s="308"/>
      <c r="G86" s="35" t="s">
        <v>284</v>
      </c>
      <c r="H86" s="37"/>
    </row>
  </sheetData>
  <mergeCells count="24">
    <mergeCell ref="C85:C86"/>
    <mergeCell ref="D85:D86"/>
    <mergeCell ref="E85:E86"/>
    <mergeCell ref="C68:C69"/>
    <mergeCell ref="D68:D69"/>
    <mergeCell ref="E68:E69"/>
    <mergeCell ref="C80:C81"/>
    <mergeCell ref="D80:D81"/>
    <mergeCell ref="E80:E81"/>
    <mergeCell ref="E74:E75"/>
    <mergeCell ref="C77:C78"/>
    <mergeCell ref="D77:D78"/>
    <mergeCell ref="E77:E78"/>
    <mergeCell ref="C74:C75"/>
    <mergeCell ref="D74:D75"/>
    <mergeCell ref="C71:C72"/>
    <mergeCell ref="D71:D72"/>
    <mergeCell ref="E71:E72"/>
    <mergeCell ref="C57:C58"/>
    <mergeCell ref="D2:E2"/>
    <mergeCell ref="C4:D4"/>
    <mergeCell ref="C43:C44"/>
    <mergeCell ref="C46:C49"/>
    <mergeCell ref="D46:D49"/>
  </mergeCells>
  <pageMargins left="0.34" right="0.13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7C4E-B812-44C8-A966-E8E8D1BC5796}">
  <dimension ref="A1:K121"/>
  <sheetViews>
    <sheetView workbookViewId="0">
      <selection activeCell="A9" sqref="A9:I121"/>
    </sheetView>
  </sheetViews>
  <sheetFormatPr defaultRowHeight="12.75" x14ac:dyDescent="0.2"/>
  <cols>
    <col min="1" max="1" width="2.7109375" style="2" customWidth="1"/>
    <col min="2" max="2" width="0.7109375" customWidth="1"/>
    <col min="3" max="3" width="10.140625" bestFit="1" customWidth="1"/>
    <col min="4" max="4" width="5" customWidth="1"/>
    <col min="5" max="5" width="27" style="46" bestFit="1" customWidth="1"/>
    <col min="6" max="6" width="2.28515625" customWidth="1"/>
    <col min="7" max="7" width="65.5703125" bestFit="1" customWidth="1"/>
    <col min="8" max="8" width="0.85546875" customWidth="1"/>
    <col min="9" max="9" width="11.85546875" customWidth="1"/>
    <col min="10" max="10" width="0.85546875" hidden="1" customWidth="1"/>
    <col min="11" max="11" width="5.7109375" style="39" customWidth="1"/>
  </cols>
  <sheetData>
    <row r="1" spans="1:11" ht="13.5" thickBot="1" x14ac:dyDescent="0.25"/>
    <row r="2" spans="1:11" ht="15.75" thickBot="1" x14ac:dyDescent="0.3">
      <c r="D2" s="303" t="s">
        <v>285</v>
      </c>
      <c r="E2" s="316"/>
      <c r="F2" s="316"/>
      <c r="G2" s="304"/>
    </row>
    <row r="4" spans="1:11" x14ac:dyDescent="0.2">
      <c r="A4" s="32"/>
      <c r="C4" s="305" t="s">
        <v>163</v>
      </c>
      <c r="D4" s="305"/>
      <c r="F4" s="2"/>
    </row>
    <row r="5" spans="1:11" ht="13.5" thickBot="1" x14ac:dyDescent="0.25"/>
    <row r="6" spans="1:11" ht="15.75" thickBot="1" x14ac:dyDescent="0.3">
      <c r="C6" s="8" t="s">
        <v>1</v>
      </c>
      <c r="G6" s="8" t="s">
        <v>2</v>
      </c>
      <c r="H6" s="2"/>
      <c r="I6" s="8" t="s">
        <v>279</v>
      </c>
      <c r="J6" s="38"/>
      <c r="K6" s="40"/>
    </row>
    <row r="9" spans="1:11" x14ac:dyDescent="0.2">
      <c r="A9" s="5">
        <v>1</v>
      </c>
      <c r="C9" s="3">
        <v>40940</v>
      </c>
      <c r="E9" s="153" t="s">
        <v>524</v>
      </c>
      <c r="G9" s="21" t="s">
        <v>617</v>
      </c>
      <c r="I9" s="5" t="s">
        <v>286</v>
      </c>
      <c r="J9" s="2"/>
    </row>
    <row r="11" spans="1:11" x14ac:dyDescent="0.2">
      <c r="A11" s="5">
        <v>2</v>
      </c>
      <c r="C11" s="3">
        <v>40946</v>
      </c>
      <c r="D11" s="13" t="s">
        <v>139</v>
      </c>
      <c r="E11" s="153" t="s">
        <v>524</v>
      </c>
      <c r="F11" s="24"/>
      <c r="G11" s="4" t="s">
        <v>618</v>
      </c>
      <c r="I11" s="5" t="s">
        <v>288</v>
      </c>
      <c r="J11" s="2"/>
    </row>
    <row r="12" spans="1:11" x14ac:dyDescent="0.2">
      <c r="D12" s="24"/>
      <c r="E12" s="171"/>
      <c r="F12" s="24"/>
    </row>
    <row r="13" spans="1:11" x14ac:dyDescent="0.2">
      <c r="A13" s="5">
        <v>3</v>
      </c>
      <c r="C13" s="3">
        <v>40948</v>
      </c>
      <c r="D13" s="13" t="s">
        <v>139</v>
      </c>
      <c r="E13" s="153" t="s">
        <v>524</v>
      </c>
      <c r="F13" s="24"/>
      <c r="G13" s="30" t="s">
        <v>619</v>
      </c>
      <c r="I13" s="5" t="s">
        <v>289</v>
      </c>
      <c r="J13" s="2"/>
    </row>
    <row r="15" spans="1:11" x14ac:dyDescent="0.2">
      <c r="A15" s="20">
        <v>4</v>
      </c>
      <c r="B15" s="33"/>
      <c r="C15" s="22">
        <v>40949</v>
      </c>
      <c r="E15" s="153" t="s">
        <v>524</v>
      </c>
      <c r="G15" s="21" t="s">
        <v>620</v>
      </c>
      <c r="H15" s="33"/>
      <c r="I15" s="20" t="s">
        <v>291</v>
      </c>
      <c r="J15" s="2"/>
    </row>
    <row r="17" spans="1:10" x14ac:dyDescent="0.2">
      <c r="A17" s="20">
        <v>5</v>
      </c>
      <c r="B17" s="33"/>
      <c r="C17" s="22">
        <v>40997</v>
      </c>
      <c r="E17" s="153" t="s">
        <v>616</v>
      </c>
      <c r="G17" s="21" t="s">
        <v>292</v>
      </c>
      <c r="H17" s="33"/>
      <c r="I17" s="20" t="s">
        <v>293</v>
      </c>
      <c r="J17" s="2"/>
    </row>
    <row r="19" spans="1:10" x14ac:dyDescent="0.2">
      <c r="A19" s="18">
        <v>6</v>
      </c>
      <c r="C19" s="41">
        <v>40998</v>
      </c>
      <c r="E19" s="172" t="s">
        <v>524</v>
      </c>
      <c r="G19" s="23" t="s">
        <v>294</v>
      </c>
      <c r="H19" s="33"/>
      <c r="I19" s="18" t="s">
        <v>295</v>
      </c>
      <c r="J19" s="2"/>
    </row>
    <row r="21" spans="1:10" x14ac:dyDescent="0.2">
      <c r="A21" s="18">
        <v>7</v>
      </c>
      <c r="B21" s="16"/>
      <c r="C21" s="41">
        <v>40999</v>
      </c>
      <c r="D21" s="13" t="s">
        <v>139</v>
      </c>
      <c r="E21" s="172" t="s">
        <v>530</v>
      </c>
      <c r="F21" s="24"/>
      <c r="G21" s="23" t="s">
        <v>621</v>
      </c>
      <c r="I21" s="42" t="s">
        <v>297</v>
      </c>
      <c r="J21" s="37"/>
    </row>
    <row r="23" spans="1:10" x14ac:dyDescent="0.2">
      <c r="A23" s="18">
        <v>8</v>
      </c>
      <c r="B23" s="16"/>
      <c r="C23" s="41">
        <v>41000</v>
      </c>
      <c r="D23" s="13" t="s">
        <v>139</v>
      </c>
      <c r="E23" s="172" t="s">
        <v>530</v>
      </c>
      <c r="F23" s="24"/>
      <c r="G23" s="23" t="s">
        <v>622</v>
      </c>
      <c r="I23" s="42" t="s">
        <v>299</v>
      </c>
      <c r="J23" s="37"/>
    </row>
    <row r="25" spans="1:10" x14ac:dyDescent="0.2">
      <c r="A25" s="20">
        <v>9</v>
      </c>
      <c r="B25" s="16"/>
      <c r="C25" s="3">
        <v>41021</v>
      </c>
      <c r="D25" s="31" t="s">
        <v>139</v>
      </c>
      <c r="E25" s="153" t="s">
        <v>524</v>
      </c>
      <c r="F25" s="24"/>
      <c r="G25" s="4" t="s">
        <v>637</v>
      </c>
      <c r="I25" s="17" t="s">
        <v>298</v>
      </c>
      <c r="J25" s="37"/>
    </row>
    <row r="27" spans="1:10" x14ac:dyDescent="0.2">
      <c r="A27" s="35">
        <v>10</v>
      </c>
      <c r="C27" s="34">
        <v>41030</v>
      </c>
      <c r="D27" s="13" t="s">
        <v>139</v>
      </c>
      <c r="E27" s="153" t="s">
        <v>524</v>
      </c>
      <c r="F27" s="24"/>
      <c r="G27" s="30" t="s">
        <v>638</v>
      </c>
      <c r="I27" s="35" t="s">
        <v>303</v>
      </c>
      <c r="J27" s="37"/>
    </row>
    <row r="29" spans="1:10" x14ac:dyDescent="0.2">
      <c r="A29" s="35">
        <v>11</v>
      </c>
      <c r="C29" s="34">
        <v>41033</v>
      </c>
      <c r="E29" s="153" t="s">
        <v>524</v>
      </c>
      <c r="G29" s="21" t="s">
        <v>639</v>
      </c>
      <c r="I29" s="35" t="s">
        <v>306</v>
      </c>
      <c r="J29" s="37"/>
    </row>
    <row r="31" spans="1:10" x14ac:dyDescent="0.2">
      <c r="A31" s="35">
        <v>12</v>
      </c>
      <c r="C31" s="34">
        <v>41035</v>
      </c>
      <c r="E31" s="153" t="s">
        <v>524</v>
      </c>
      <c r="G31" s="30" t="s">
        <v>640</v>
      </c>
      <c r="I31" s="35" t="s">
        <v>308</v>
      </c>
      <c r="J31" s="37"/>
    </row>
    <row r="33" spans="1:10" x14ac:dyDescent="0.2">
      <c r="A33" s="35">
        <v>13</v>
      </c>
      <c r="C33" s="34">
        <v>41042</v>
      </c>
      <c r="D33" s="13" t="s">
        <v>139</v>
      </c>
      <c r="E33" s="153" t="s">
        <v>524</v>
      </c>
      <c r="F33" s="24"/>
      <c r="G33" s="30" t="s">
        <v>641</v>
      </c>
      <c r="I33" s="35" t="s">
        <v>310</v>
      </c>
      <c r="J33" s="37"/>
    </row>
    <row r="34" spans="1:10" x14ac:dyDescent="0.2">
      <c r="J34" s="37"/>
    </row>
    <row r="35" spans="1:10" x14ac:dyDescent="0.2">
      <c r="A35" s="35">
        <v>14</v>
      </c>
      <c r="C35" s="34">
        <v>41048</v>
      </c>
      <c r="D35" s="13" t="s">
        <v>139</v>
      </c>
      <c r="E35" s="153" t="s">
        <v>524</v>
      </c>
      <c r="F35" s="24"/>
      <c r="G35" s="21" t="s">
        <v>642</v>
      </c>
      <c r="I35" s="35" t="s">
        <v>312</v>
      </c>
      <c r="J35" s="37"/>
    </row>
    <row r="37" spans="1:10" x14ac:dyDescent="0.2">
      <c r="A37" s="35">
        <v>15</v>
      </c>
      <c r="C37" s="34">
        <v>41049</v>
      </c>
      <c r="D37" s="13" t="s">
        <v>139</v>
      </c>
      <c r="E37" s="153" t="s">
        <v>524</v>
      </c>
      <c r="F37" s="24"/>
      <c r="G37" s="30" t="s">
        <v>643</v>
      </c>
      <c r="I37" s="35" t="s">
        <v>353</v>
      </c>
      <c r="J37" s="37"/>
    </row>
    <row r="39" spans="1:10" x14ac:dyDescent="0.2">
      <c r="A39" s="43">
        <v>16</v>
      </c>
      <c r="C39" s="319">
        <v>41053</v>
      </c>
      <c r="D39" s="322" t="s">
        <v>139</v>
      </c>
      <c r="E39" s="153" t="s">
        <v>530</v>
      </c>
      <c r="F39" s="166"/>
      <c r="G39" s="30" t="s">
        <v>644</v>
      </c>
      <c r="I39" s="43" t="s">
        <v>324</v>
      </c>
      <c r="J39" s="37"/>
    </row>
    <row r="40" spans="1:10" x14ac:dyDescent="0.2">
      <c r="A40" s="35">
        <v>17</v>
      </c>
      <c r="C40" s="320"/>
      <c r="D40" s="322"/>
      <c r="E40" s="153" t="s">
        <v>524</v>
      </c>
      <c r="F40" s="166"/>
      <c r="G40" s="30" t="s">
        <v>645</v>
      </c>
      <c r="I40" s="35" t="s">
        <v>325</v>
      </c>
      <c r="J40" s="37"/>
    </row>
    <row r="41" spans="1:10" x14ac:dyDescent="0.2">
      <c r="A41" s="35">
        <v>18</v>
      </c>
      <c r="C41" s="321"/>
      <c r="D41" s="322"/>
      <c r="E41" s="153" t="s">
        <v>524</v>
      </c>
      <c r="F41" s="166"/>
      <c r="G41" s="30" t="s">
        <v>646</v>
      </c>
      <c r="I41" s="35" t="s">
        <v>326</v>
      </c>
      <c r="J41" s="37"/>
    </row>
    <row r="43" spans="1:10" x14ac:dyDescent="0.2">
      <c r="A43" s="35">
        <v>19</v>
      </c>
      <c r="C43" s="309">
        <v>41054</v>
      </c>
      <c r="D43" s="317" t="s">
        <v>139</v>
      </c>
      <c r="E43" s="153" t="s">
        <v>539</v>
      </c>
      <c r="F43" s="167"/>
      <c r="G43" s="21" t="s">
        <v>632</v>
      </c>
      <c r="I43" s="35" t="s">
        <v>316</v>
      </c>
      <c r="J43" s="37"/>
    </row>
    <row r="44" spans="1:10" x14ac:dyDescent="0.2">
      <c r="A44" s="35">
        <v>20</v>
      </c>
      <c r="C44" s="313"/>
      <c r="D44" s="317"/>
      <c r="E44" s="153" t="s">
        <v>539</v>
      </c>
      <c r="F44" s="167"/>
      <c r="G44" s="44" t="s">
        <v>633</v>
      </c>
      <c r="I44" s="43" t="s">
        <v>315</v>
      </c>
      <c r="J44" s="37"/>
    </row>
    <row r="45" spans="1:10" x14ac:dyDescent="0.2">
      <c r="A45" s="35">
        <v>21</v>
      </c>
      <c r="C45" s="313"/>
      <c r="D45" s="318"/>
      <c r="E45" s="153" t="s">
        <v>524</v>
      </c>
      <c r="F45" s="168"/>
      <c r="G45" s="30" t="s">
        <v>631</v>
      </c>
      <c r="I45" s="35" t="s">
        <v>320</v>
      </c>
      <c r="J45" s="37"/>
    </row>
    <row r="46" spans="1:10" x14ac:dyDescent="0.2">
      <c r="A46" s="35">
        <v>22</v>
      </c>
      <c r="C46" s="312"/>
      <c r="D46" s="318"/>
      <c r="E46" s="153" t="s">
        <v>524</v>
      </c>
      <c r="F46" s="168"/>
      <c r="G46" s="30" t="s">
        <v>630</v>
      </c>
      <c r="I46" s="35" t="s">
        <v>319</v>
      </c>
      <c r="J46" s="37"/>
    </row>
    <row r="48" spans="1:10" x14ac:dyDescent="0.2">
      <c r="A48" s="21">
        <v>23</v>
      </c>
      <c r="C48" s="22">
        <v>41055</v>
      </c>
      <c r="D48" s="13" t="s">
        <v>139</v>
      </c>
      <c r="E48" s="153" t="s">
        <v>524</v>
      </c>
      <c r="F48" s="24"/>
      <c r="G48" s="21" t="s">
        <v>629</v>
      </c>
      <c r="I48" s="20" t="s">
        <v>328</v>
      </c>
      <c r="J48" s="2"/>
    </row>
    <row r="50" spans="1:9" x14ac:dyDescent="0.2">
      <c r="A50" s="21">
        <v>24</v>
      </c>
      <c r="C50" s="311">
        <v>41059</v>
      </c>
      <c r="D50" s="323" t="s">
        <v>139</v>
      </c>
      <c r="E50" s="153" t="s">
        <v>524</v>
      </c>
      <c r="F50" s="169"/>
      <c r="G50" s="21" t="s">
        <v>628</v>
      </c>
      <c r="I50" s="20" t="s">
        <v>324</v>
      </c>
    </row>
    <row r="51" spans="1:9" x14ac:dyDescent="0.2">
      <c r="A51" s="21">
        <v>25</v>
      </c>
      <c r="C51" s="324"/>
      <c r="D51" s="323"/>
      <c r="E51" s="153" t="s">
        <v>626</v>
      </c>
      <c r="F51" s="169"/>
      <c r="G51" s="30" t="s">
        <v>627</v>
      </c>
      <c r="I51" s="35" t="s">
        <v>330</v>
      </c>
    </row>
    <row r="53" spans="1:9" x14ac:dyDescent="0.2">
      <c r="A53" s="21">
        <v>26</v>
      </c>
      <c r="C53" s="22">
        <v>41060</v>
      </c>
      <c r="D53" s="31" t="s">
        <v>139</v>
      </c>
      <c r="E53" s="153" t="s">
        <v>625</v>
      </c>
      <c r="F53" s="24"/>
      <c r="G53" s="30" t="s">
        <v>634</v>
      </c>
      <c r="I53" s="35" t="s">
        <v>332</v>
      </c>
    </row>
    <row r="55" spans="1:9" x14ac:dyDescent="0.2">
      <c r="A55" s="35">
        <v>27</v>
      </c>
      <c r="C55" s="34">
        <v>41065</v>
      </c>
      <c r="D55" s="13" t="s">
        <v>139</v>
      </c>
      <c r="E55" s="153" t="s">
        <v>524</v>
      </c>
      <c r="F55" s="24"/>
      <c r="G55" s="21" t="s">
        <v>624</v>
      </c>
      <c r="I55" s="35" t="s">
        <v>335</v>
      </c>
    </row>
    <row r="57" spans="1:9" x14ac:dyDescent="0.2">
      <c r="A57" s="35">
        <v>28</v>
      </c>
      <c r="C57" s="34">
        <v>41070</v>
      </c>
      <c r="D57" s="13" t="s">
        <v>139</v>
      </c>
      <c r="E57" s="153" t="s">
        <v>647</v>
      </c>
      <c r="F57" s="24"/>
      <c r="G57" s="21" t="s">
        <v>648</v>
      </c>
      <c r="I57" s="35" t="s">
        <v>337</v>
      </c>
    </row>
    <row r="59" spans="1:9" x14ac:dyDescent="0.2">
      <c r="A59" s="35">
        <v>29</v>
      </c>
      <c r="C59" s="34">
        <v>41071</v>
      </c>
      <c r="D59" s="31" t="s">
        <v>139</v>
      </c>
      <c r="E59" s="153" t="s">
        <v>635</v>
      </c>
      <c r="F59" s="24"/>
      <c r="G59" s="21" t="s">
        <v>636</v>
      </c>
      <c r="I59" s="35" t="s">
        <v>335</v>
      </c>
    </row>
    <row r="61" spans="1:9" x14ac:dyDescent="0.2">
      <c r="A61" s="35">
        <v>30</v>
      </c>
      <c r="C61" s="34">
        <v>41083</v>
      </c>
      <c r="D61" s="45" t="s">
        <v>139</v>
      </c>
      <c r="E61" s="153" t="s">
        <v>524</v>
      </c>
      <c r="F61" s="24"/>
      <c r="G61" s="21" t="s">
        <v>623</v>
      </c>
      <c r="I61" s="35" t="s">
        <v>340</v>
      </c>
    </row>
    <row r="63" spans="1:9" x14ac:dyDescent="0.2">
      <c r="A63" s="35">
        <v>31</v>
      </c>
      <c r="C63" s="34">
        <v>41085</v>
      </c>
      <c r="D63" s="45" t="s">
        <v>139</v>
      </c>
      <c r="E63" s="153" t="s">
        <v>649</v>
      </c>
      <c r="F63" s="24"/>
      <c r="G63" s="21" t="s">
        <v>651</v>
      </c>
      <c r="I63" s="35" t="s">
        <v>343</v>
      </c>
    </row>
    <row r="65" spans="1:9" x14ac:dyDescent="0.2">
      <c r="A65" s="35">
        <v>32</v>
      </c>
      <c r="C65" s="34">
        <v>41086</v>
      </c>
      <c r="D65" s="45" t="s">
        <v>139</v>
      </c>
      <c r="E65" s="153" t="s">
        <v>650</v>
      </c>
      <c r="F65" s="24"/>
      <c r="G65" s="21" t="s">
        <v>652</v>
      </c>
      <c r="I65" s="35" t="s">
        <v>344</v>
      </c>
    </row>
    <row r="67" spans="1:9" x14ac:dyDescent="0.2">
      <c r="A67" s="35">
        <v>33</v>
      </c>
      <c r="C67" s="34">
        <v>41087</v>
      </c>
      <c r="D67" s="45" t="s">
        <v>139</v>
      </c>
      <c r="E67" s="153" t="s">
        <v>524</v>
      </c>
      <c r="F67" s="24"/>
      <c r="G67" s="21" t="s">
        <v>655</v>
      </c>
      <c r="I67" s="35" t="s">
        <v>346</v>
      </c>
    </row>
    <row r="69" spans="1:9" x14ac:dyDescent="0.2">
      <c r="A69" s="35">
        <v>34</v>
      </c>
      <c r="C69" s="309">
        <v>41088</v>
      </c>
      <c r="D69" s="45" t="s">
        <v>139</v>
      </c>
      <c r="E69" s="153" t="s">
        <v>524</v>
      </c>
      <c r="F69" s="24"/>
      <c r="G69" s="30" t="s">
        <v>656</v>
      </c>
      <c r="I69" s="35" t="s">
        <v>347</v>
      </c>
    </row>
    <row r="70" spans="1:9" x14ac:dyDescent="0.2">
      <c r="A70" s="35">
        <v>35</v>
      </c>
      <c r="C70" s="312"/>
      <c r="D70" s="45" t="s">
        <v>139</v>
      </c>
      <c r="E70" s="153" t="s">
        <v>524</v>
      </c>
      <c r="F70" s="24"/>
      <c r="G70" s="30" t="s">
        <v>657</v>
      </c>
      <c r="I70" s="35" t="s">
        <v>349</v>
      </c>
    </row>
    <row r="72" spans="1:9" x14ac:dyDescent="0.2">
      <c r="A72" s="35">
        <v>36</v>
      </c>
      <c r="C72" s="34">
        <v>41119</v>
      </c>
      <c r="D72" s="45" t="s">
        <v>139</v>
      </c>
      <c r="E72" s="153" t="s">
        <v>524</v>
      </c>
      <c r="F72" s="24"/>
      <c r="G72" s="21" t="s">
        <v>658</v>
      </c>
      <c r="I72" s="35" t="s">
        <v>354</v>
      </c>
    </row>
    <row r="74" spans="1:9" x14ac:dyDescent="0.2">
      <c r="A74" s="35">
        <v>37</v>
      </c>
      <c r="C74" s="34">
        <v>41121</v>
      </c>
      <c r="D74" s="45" t="s">
        <v>139</v>
      </c>
      <c r="E74" s="153" t="s">
        <v>653</v>
      </c>
      <c r="F74" s="24"/>
      <c r="G74" s="21" t="s">
        <v>654</v>
      </c>
      <c r="I74" s="35" t="s">
        <v>77</v>
      </c>
    </row>
    <row r="76" spans="1:9" x14ac:dyDescent="0.2">
      <c r="A76" s="35">
        <v>38</v>
      </c>
      <c r="C76" s="34">
        <v>41153</v>
      </c>
      <c r="D76" s="31" t="s">
        <v>139</v>
      </c>
      <c r="E76" s="153" t="s">
        <v>626</v>
      </c>
      <c r="F76" s="24"/>
      <c r="G76" s="21" t="s">
        <v>659</v>
      </c>
      <c r="I76" s="35" t="s">
        <v>358</v>
      </c>
    </row>
    <row r="78" spans="1:9" x14ac:dyDescent="0.2">
      <c r="A78" s="35">
        <v>39</v>
      </c>
      <c r="C78" s="34">
        <v>41154</v>
      </c>
      <c r="D78" s="31" t="s">
        <v>139</v>
      </c>
      <c r="E78" s="153" t="s">
        <v>626</v>
      </c>
      <c r="F78" s="24"/>
      <c r="G78" s="21" t="s">
        <v>659</v>
      </c>
      <c r="I78" s="35" t="s">
        <v>358</v>
      </c>
    </row>
    <row r="80" spans="1:9" x14ac:dyDescent="0.2">
      <c r="A80" s="35">
        <v>40</v>
      </c>
      <c r="C80" s="34">
        <v>41155</v>
      </c>
      <c r="D80" s="31" t="s">
        <v>139</v>
      </c>
      <c r="E80" s="153" t="s">
        <v>626</v>
      </c>
      <c r="F80" s="24"/>
      <c r="G80" s="21" t="s">
        <v>659</v>
      </c>
      <c r="I80" s="35" t="s">
        <v>358</v>
      </c>
    </row>
    <row r="82" spans="1:9" x14ac:dyDescent="0.2">
      <c r="A82" s="35">
        <v>41</v>
      </c>
      <c r="C82" s="34">
        <v>41156</v>
      </c>
      <c r="D82" s="31" t="s">
        <v>139</v>
      </c>
      <c r="E82" s="153" t="s">
        <v>626</v>
      </c>
      <c r="F82" s="24"/>
      <c r="G82" s="21" t="s">
        <v>659</v>
      </c>
      <c r="I82" s="35" t="s">
        <v>358</v>
      </c>
    </row>
    <row r="84" spans="1:9" x14ac:dyDescent="0.2">
      <c r="A84" s="35">
        <v>42</v>
      </c>
      <c r="C84" s="34">
        <v>41157</v>
      </c>
      <c r="D84" s="31" t="s">
        <v>139</v>
      </c>
      <c r="E84" s="153" t="s">
        <v>626</v>
      </c>
      <c r="F84" s="24"/>
      <c r="G84" s="21" t="s">
        <v>659</v>
      </c>
      <c r="I84" s="35" t="s">
        <v>358</v>
      </c>
    </row>
    <row r="86" spans="1:9" x14ac:dyDescent="0.2">
      <c r="A86" s="35">
        <v>43</v>
      </c>
      <c r="C86" s="34">
        <v>41158</v>
      </c>
      <c r="D86" s="31" t="s">
        <v>139</v>
      </c>
      <c r="E86" s="153" t="s">
        <v>626</v>
      </c>
      <c r="F86" s="24"/>
      <c r="G86" s="21" t="s">
        <v>659</v>
      </c>
      <c r="I86" s="35" t="s">
        <v>358</v>
      </c>
    </row>
    <row r="88" spans="1:9" x14ac:dyDescent="0.2">
      <c r="A88" s="35">
        <v>44</v>
      </c>
      <c r="C88" s="34">
        <v>41159</v>
      </c>
      <c r="D88" s="31" t="s">
        <v>139</v>
      </c>
      <c r="E88" s="153" t="s">
        <v>626</v>
      </c>
      <c r="F88" s="24"/>
      <c r="G88" s="21" t="s">
        <v>659</v>
      </c>
      <c r="I88" s="35" t="s">
        <v>358</v>
      </c>
    </row>
    <row r="90" spans="1:9" x14ac:dyDescent="0.2">
      <c r="A90" s="35">
        <v>45</v>
      </c>
      <c r="C90" s="34">
        <v>41160</v>
      </c>
      <c r="D90" s="31" t="s">
        <v>139</v>
      </c>
      <c r="E90" s="153" t="s">
        <v>626</v>
      </c>
      <c r="F90" s="24"/>
      <c r="G90" s="21" t="s">
        <v>659</v>
      </c>
      <c r="I90" s="35" t="s">
        <v>359</v>
      </c>
    </row>
    <row r="92" spans="1:9" x14ac:dyDescent="0.2">
      <c r="A92" s="35">
        <v>46</v>
      </c>
      <c r="C92" s="34">
        <v>41180</v>
      </c>
      <c r="E92" s="173" t="s">
        <v>616</v>
      </c>
      <c r="G92" s="21" t="s">
        <v>669</v>
      </c>
      <c r="I92" s="35" t="s">
        <v>361</v>
      </c>
    </row>
    <row r="94" spans="1:9" x14ac:dyDescent="0.2">
      <c r="A94" s="35">
        <v>47</v>
      </c>
      <c r="C94" s="309">
        <v>41182</v>
      </c>
      <c r="D94" s="45" t="s">
        <v>139</v>
      </c>
      <c r="E94" s="153" t="s">
        <v>666</v>
      </c>
      <c r="F94" s="24"/>
      <c r="G94" s="30" t="s">
        <v>667</v>
      </c>
      <c r="I94" s="35" t="s">
        <v>232</v>
      </c>
    </row>
    <row r="95" spans="1:9" x14ac:dyDescent="0.2">
      <c r="A95" s="35">
        <v>48</v>
      </c>
      <c r="C95" s="310"/>
      <c r="D95" s="45" t="s">
        <v>139</v>
      </c>
      <c r="E95" s="153" t="s">
        <v>524</v>
      </c>
      <c r="F95" s="24"/>
      <c r="G95" s="30" t="s">
        <v>668</v>
      </c>
      <c r="I95" s="35" t="s">
        <v>363</v>
      </c>
    </row>
    <row r="97" spans="1:10" x14ac:dyDescent="0.2">
      <c r="A97" s="35">
        <v>49</v>
      </c>
      <c r="C97" s="34">
        <v>41189</v>
      </c>
      <c r="D97" s="45" t="s">
        <v>139</v>
      </c>
      <c r="E97" s="153" t="s">
        <v>647</v>
      </c>
      <c r="F97" s="24"/>
      <c r="G97" s="21" t="s">
        <v>665</v>
      </c>
      <c r="I97" s="35" t="s">
        <v>366</v>
      </c>
    </row>
    <row r="99" spans="1:10" x14ac:dyDescent="0.2">
      <c r="A99" s="35">
        <v>50</v>
      </c>
      <c r="C99" s="34">
        <v>41202</v>
      </c>
      <c r="D99" s="31" t="s">
        <v>139</v>
      </c>
      <c r="E99" s="153" t="s">
        <v>524</v>
      </c>
      <c r="F99" s="24"/>
      <c r="G99" s="30" t="s">
        <v>664</v>
      </c>
      <c r="I99" s="35" t="s">
        <v>367</v>
      </c>
    </row>
    <row r="101" spans="1:10" x14ac:dyDescent="0.2">
      <c r="A101" s="35">
        <v>51</v>
      </c>
      <c r="C101" s="309">
        <v>41209</v>
      </c>
      <c r="D101" s="306" t="s">
        <v>278</v>
      </c>
      <c r="E101" s="153" t="s">
        <v>524</v>
      </c>
      <c r="F101" s="170"/>
      <c r="G101" s="307" t="s">
        <v>663</v>
      </c>
      <c r="I101" s="35" t="s">
        <v>368</v>
      </c>
      <c r="J101" s="37"/>
    </row>
    <row r="102" spans="1:10" x14ac:dyDescent="0.2">
      <c r="A102" s="35">
        <v>52</v>
      </c>
      <c r="C102" s="310"/>
      <c r="D102" s="306"/>
      <c r="E102" s="153" t="s">
        <v>524</v>
      </c>
      <c r="F102" s="170"/>
      <c r="G102" s="308"/>
      <c r="I102" s="35" t="s">
        <v>284</v>
      </c>
      <c r="J102" s="37"/>
    </row>
    <row r="103" spans="1:10" x14ac:dyDescent="0.2">
      <c r="G103" s="46"/>
    </row>
    <row r="104" spans="1:10" x14ac:dyDescent="0.2">
      <c r="A104" s="35">
        <v>53</v>
      </c>
      <c r="C104" s="309">
        <v>41211</v>
      </c>
      <c r="D104" s="306" t="s">
        <v>278</v>
      </c>
      <c r="E104" s="153" t="s">
        <v>524</v>
      </c>
      <c r="F104" s="170"/>
      <c r="G104" s="307" t="s">
        <v>663</v>
      </c>
      <c r="I104" s="35" t="s">
        <v>368</v>
      </c>
    </row>
    <row r="105" spans="1:10" x14ac:dyDescent="0.2">
      <c r="A105" s="35">
        <v>54</v>
      </c>
      <c r="C105" s="310"/>
      <c r="D105" s="306"/>
      <c r="E105" s="153" t="s">
        <v>524</v>
      </c>
      <c r="F105" s="170"/>
      <c r="G105" s="308"/>
      <c r="I105" s="35" t="s">
        <v>64</v>
      </c>
    </row>
    <row r="106" spans="1:10" x14ac:dyDescent="0.2">
      <c r="G106" s="46"/>
    </row>
    <row r="107" spans="1:10" x14ac:dyDescent="0.2">
      <c r="A107" s="35">
        <v>55</v>
      </c>
      <c r="C107" s="309">
        <v>41212</v>
      </c>
      <c r="D107" s="306" t="s">
        <v>278</v>
      </c>
      <c r="E107" s="153" t="s">
        <v>524</v>
      </c>
      <c r="F107" s="170"/>
      <c r="G107" s="307" t="s">
        <v>663</v>
      </c>
      <c r="I107" s="35" t="s">
        <v>368</v>
      </c>
    </row>
    <row r="108" spans="1:10" x14ac:dyDescent="0.2">
      <c r="A108" s="35">
        <v>56</v>
      </c>
      <c r="C108" s="310"/>
      <c r="D108" s="306"/>
      <c r="E108" s="153" t="s">
        <v>524</v>
      </c>
      <c r="F108" s="170"/>
      <c r="G108" s="308"/>
      <c r="I108" s="35" t="s">
        <v>64</v>
      </c>
    </row>
    <row r="109" spans="1:10" x14ac:dyDescent="0.2">
      <c r="G109" s="46"/>
    </row>
    <row r="110" spans="1:10" x14ac:dyDescent="0.2">
      <c r="A110" s="35">
        <v>57</v>
      </c>
      <c r="C110" s="309">
        <v>41213</v>
      </c>
      <c r="D110" s="306" t="s">
        <v>278</v>
      </c>
      <c r="E110" s="153" t="s">
        <v>524</v>
      </c>
      <c r="F110" s="170"/>
      <c r="G110" s="307" t="s">
        <v>663</v>
      </c>
      <c r="I110" s="35" t="s">
        <v>368</v>
      </c>
    </row>
    <row r="111" spans="1:10" x14ac:dyDescent="0.2">
      <c r="A111" s="35">
        <v>58</v>
      </c>
      <c r="C111" s="310"/>
      <c r="D111" s="306"/>
      <c r="E111" s="153" t="s">
        <v>524</v>
      </c>
      <c r="F111" s="170"/>
      <c r="G111" s="308"/>
      <c r="I111" s="35" t="s">
        <v>369</v>
      </c>
    </row>
    <row r="112" spans="1:10" x14ac:dyDescent="0.2">
      <c r="G112" s="46"/>
    </row>
    <row r="113" spans="1:9" x14ac:dyDescent="0.2">
      <c r="A113" s="35">
        <v>59</v>
      </c>
      <c r="C113" s="309">
        <v>41214</v>
      </c>
      <c r="D113" s="306" t="s">
        <v>278</v>
      </c>
      <c r="E113" s="153" t="s">
        <v>524</v>
      </c>
      <c r="F113" s="170"/>
      <c r="G113" s="307" t="s">
        <v>663</v>
      </c>
      <c r="I113" s="35" t="s">
        <v>368</v>
      </c>
    </row>
    <row r="114" spans="1:9" x14ac:dyDescent="0.2">
      <c r="A114" s="35">
        <v>60</v>
      </c>
      <c r="C114" s="310"/>
      <c r="D114" s="306"/>
      <c r="E114" s="153" t="s">
        <v>524</v>
      </c>
      <c r="F114" s="170"/>
      <c r="G114" s="308"/>
      <c r="I114" s="35" t="s">
        <v>284</v>
      </c>
    </row>
    <row r="115" spans="1:9" x14ac:dyDescent="0.2">
      <c r="G115" s="46"/>
    </row>
    <row r="116" spans="1:9" x14ac:dyDescent="0.2">
      <c r="A116" s="35">
        <v>61</v>
      </c>
      <c r="C116" s="309">
        <v>41215</v>
      </c>
      <c r="D116" s="306" t="s">
        <v>278</v>
      </c>
      <c r="E116" s="153" t="s">
        <v>524</v>
      </c>
      <c r="F116" s="170"/>
      <c r="G116" s="307" t="s">
        <v>663</v>
      </c>
      <c r="I116" s="35" t="s">
        <v>368</v>
      </c>
    </row>
    <row r="117" spans="1:9" x14ac:dyDescent="0.2">
      <c r="A117" s="35">
        <v>62</v>
      </c>
      <c r="C117" s="310"/>
      <c r="D117" s="306"/>
      <c r="E117" s="153" t="s">
        <v>524</v>
      </c>
      <c r="F117" s="170"/>
      <c r="G117" s="308"/>
      <c r="I117" s="35" t="s">
        <v>284</v>
      </c>
    </row>
    <row r="119" spans="1:9" x14ac:dyDescent="0.2">
      <c r="A119" s="35">
        <v>63</v>
      </c>
      <c r="C119" s="34">
        <v>41223</v>
      </c>
      <c r="E119" s="173" t="s">
        <v>661</v>
      </c>
      <c r="G119" s="30" t="s">
        <v>662</v>
      </c>
      <c r="I119" s="35" t="s">
        <v>370</v>
      </c>
    </row>
    <row r="121" spans="1:9" x14ac:dyDescent="0.2">
      <c r="A121" s="35">
        <v>64</v>
      </c>
      <c r="C121" s="34">
        <v>41241</v>
      </c>
      <c r="D121" s="45" t="s">
        <v>139</v>
      </c>
      <c r="E121" s="153" t="s">
        <v>524</v>
      </c>
      <c r="F121" s="24"/>
      <c r="G121" s="21" t="s">
        <v>660</v>
      </c>
      <c r="I121" s="35" t="s">
        <v>373</v>
      </c>
    </row>
  </sheetData>
  <mergeCells count="28">
    <mergeCell ref="C113:C114"/>
    <mergeCell ref="D113:D114"/>
    <mergeCell ref="G113:G114"/>
    <mergeCell ref="C116:C117"/>
    <mergeCell ref="D116:D117"/>
    <mergeCell ref="G116:G117"/>
    <mergeCell ref="C107:C108"/>
    <mergeCell ref="D107:D108"/>
    <mergeCell ref="G107:G108"/>
    <mergeCell ref="D101:D102"/>
    <mergeCell ref="G101:G102"/>
    <mergeCell ref="G104:G105"/>
    <mergeCell ref="C110:C111"/>
    <mergeCell ref="D110:D111"/>
    <mergeCell ref="G110:G111"/>
    <mergeCell ref="D2:G2"/>
    <mergeCell ref="C4:D4"/>
    <mergeCell ref="D43:D46"/>
    <mergeCell ref="C43:C46"/>
    <mergeCell ref="C39:C41"/>
    <mergeCell ref="D39:D41"/>
    <mergeCell ref="C69:C70"/>
    <mergeCell ref="C94:C95"/>
    <mergeCell ref="D50:D51"/>
    <mergeCell ref="C50:C51"/>
    <mergeCell ref="C104:C105"/>
    <mergeCell ref="D104:D105"/>
    <mergeCell ref="C101:C102"/>
  </mergeCells>
  <pageMargins left="0.24" right="0.11811023622047245" top="0.35433070866141736" bottom="0.47244094488188981" header="0.23622047244094491" footer="0.19685039370078741"/>
  <pageSetup paperSize="9" scale="8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1CED-B040-475F-9741-70AEAAEDB321}">
  <dimension ref="A1:K102"/>
  <sheetViews>
    <sheetView topLeftCell="A51" workbookViewId="0">
      <selection activeCell="A103" sqref="A103"/>
    </sheetView>
  </sheetViews>
  <sheetFormatPr defaultRowHeight="12" x14ac:dyDescent="0.2"/>
  <cols>
    <col min="1" max="1" width="2.7109375" style="24" customWidth="1"/>
    <col min="2" max="2" width="0.7109375" style="155" customWidth="1"/>
    <col min="3" max="3" width="9.85546875" style="159" bestFit="1" customWidth="1"/>
    <col min="4" max="4" width="5" style="155" customWidth="1"/>
    <col min="5" max="5" width="20.140625" style="155" customWidth="1"/>
    <col min="6" max="6" width="1.140625" style="155" customWidth="1"/>
    <col min="7" max="7" width="59" style="155" bestFit="1" customWidth="1"/>
    <col min="8" max="8" width="0.85546875" style="155" customWidth="1"/>
    <col min="9" max="9" width="11.28515625" style="155" bestFit="1" customWidth="1"/>
    <col min="10" max="10" width="0.85546875" style="155" hidden="1" customWidth="1"/>
    <col min="11" max="11" width="5.7109375" style="163" customWidth="1"/>
    <col min="12" max="16384" width="9.140625" style="155"/>
  </cols>
  <sheetData>
    <row r="1" spans="1:11" ht="12.75" thickBot="1" x14ac:dyDescent="0.25"/>
    <row r="2" spans="1:11" ht="12.75" thickBot="1" x14ac:dyDescent="0.25">
      <c r="D2" s="325" t="s">
        <v>378</v>
      </c>
      <c r="E2" s="326"/>
      <c r="F2" s="326"/>
      <c r="G2" s="327"/>
    </row>
    <row r="4" spans="1:11" x14ac:dyDescent="0.2">
      <c r="A4" s="31"/>
      <c r="C4" s="328" t="s">
        <v>163</v>
      </c>
      <c r="D4" s="328"/>
      <c r="E4" s="31"/>
      <c r="F4" s="31"/>
    </row>
    <row r="5" spans="1:11" ht="12.75" thickBot="1" x14ac:dyDescent="0.25"/>
    <row r="6" spans="1:11" ht="12.75" thickBot="1" x14ac:dyDescent="0.25">
      <c r="C6" s="158" t="s">
        <v>1</v>
      </c>
      <c r="E6" s="156" t="s">
        <v>529</v>
      </c>
      <c r="G6" s="156" t="s">
        <v>2</v>
      </c>
      <c r="H6" s="24"/>
      <c r="I6" s="156" t="s">
        <v>279</v>
      </c>
      <c r="J6" s="164"/>
      <c r="K6" s="165"/>
    </row>
    <row r="9" spans="1:11" x14ac:dyDescent="0.2">
      <c r="A9" s="152">
        <v>1</v>
      </c>
      <c r="C9" s="160">
        <v>41349</v>
      </c>
      <c r="E9" s="162" t="s">
        <v>524</v>
      </c>
      <c r="G9" s="162" t="s">
        <v>598</v>
      </c>
      <c r="I9" s="152" t="s">
        <v>375</v>
      </c>
      <c r="J9" s="24"/>
    </row>
    <row r="11" spans="1:11" x14ac:dyDescent="0.2">
      <c r="A11" s="152">
        <v>2</v>
      </c>
      <c r="C11" s="160">
        <v>41350</v>
      </c>
      <c r="D11" s="13" t="s">
        <v>139</v>
      </c>
      <c r="E11" s="162" t="s">
        <v>524</v>
      </c>
      <c r="F11" s="24"/>
      <c r="G11" s="15" t="s">
        <v>599</v>
      </c>
      <c r="I11" s="152" t="s">
        <v>377</v>
      </c>
      <c r="J11" s="24"/>
    </row>
    <row r="12" spans="1:11" x14ac:dyDescent="0.2">
      <c r="D12" s="24"/>
      <c r="E12" s="24"/>
      <c r="F12" s="24"/>
    </row>
    <row r="13" spans="1:11" x14ac:dyDescent="0.2">
      <c r="A13" s="152">
        <v>3</v>
      </c>
      <c r="C13" s="160">
        <v>41357</v>
      </c>
      <c r="D13" s="13" t="s">
        <v>139</v>
      </c>
      <c r="E13" s="162" t="s">
        <v>524</v>
      </c>
      <c r="F13" s="24"/>
      <c r="G13" s="15" t="s">
        <v>600</v>
      </c>
      <c r="I13" s="152" t="s">
        <v>232</v>
      </c>
    </row>
    <row r="15" spans="1:11" x14ac:dyDescent="0.2">
      <c r="A15" s="152">
        <v>4</v>
      </c>
      <c r="C15" s="160">
        <v>41384</v>
      </c>
      <c r="D15" s="13" t="s">
        <v>139</v>
      </c>
      <c r="E15" s="162" t="s">
        <v>524</v>
      </c>
      <c r="F15" s="24"/>
      <c r="G15" s="15" t="s">
        <v>601</v>
      </c>
      <c r="I15" s="152" t="s">
        <v>381</v>
      </c>
    </row>
    <row r="17" spans="1:9" x14ac:dyDescent="0.2">
      <c r="A17" s="152">
        <v>5</v>
      </c>
      <c r="C17" s="160">
        <v>41395</v>
      </c>
      <c r="D17" s="13" t="s">
        <v>139</v>
      </c>
      <c r="E17" s="162" t="s">
        <v>524</v>
      </c>
      <c r="F17" s="24"/>
      <c r="G17" s="15" t="s">
        <v>602</v>
      </c>
      <c r="I17" s="152" t="s">
        <v>383</v>
      </c>
    </row>
    <row r="19" spans="1:9" x14ac:dyDescent="0.2">
      <c r="A19" s="152">
        <v>6</v>
      </c>
      <c r="C19" s="160">
        <v>41412</v>
      </c>
      <c r="D19" s="13" t="s">
        <v>139</v>
      </c>
      <c r="E19" s="153" t="s">
        <v>594</v>
      </c>
      <c r="F19" s="24"/>
      <c r="G19" s="15" t="s">
        <v>603</v>
      </c>
      <c r="I19" s="152" t="s">
        <v>385</v>
      </c>
    </row>
    <row r="21" spans="1:9" x14ac:dyDescent="0.2">
      <c r="A21" s="152">
        <v>7</v>
      </c>
      <c r="C21" s="160">
        <v>41418</v>
      </c>
      <c r="D21" s="13" t="s">
        <v>139</v>
      </c>
      <c r="E21" s="162" t="s">
        <v>524</v>
      </c>
      <c r="F21" s="24"/>
      <c r="G21" s="15" t="s">
        <v>176</v>
      </c>
      <c r="I21" s="152" t="s">
        <v>386</v>
      </c>
    </row>
    <row r="23" spans="1:9" x14ac:dyDescent="0.2">
      <c r="A23" s="152">
        <v>8</v>
      </c>
      <c r="C23" s="160">
        <v>41420</v>
      </c>
      <c r="D23" s="13" t="s">
        <v>139</v>
      </c>
      <c r="E23" s="152" t="s">
        <v>595</v>
      </c>
      <c r="F23" s="24"/>
      <c r="G23" s="15" t="s">
        <v>604</v>
      </c>
      <c r="I23" s="152" t="s">
        <v>388</v>
      </c>
    </row>
    <row r="25" spans="1:9" x14ac:dyDescent="0.2">
      <c r="A25" s="152">
        <v>9</v>
      </c>
      <c r="C25" s="160">
        <v>41429</v>
      </c>
      <c r="E25" s="162" t="s">
        <v>524</v>
      </c>
      <c r="G25" s="162" t="s">
        <v>605</v>
      </c>
      <c r="I25" s="152" t="s">
        <v>390</v>
      </c>
    </row>
    <row r="27" spans="1:9" x14ac:dyDescent="0.2">
      <c r="A27" s="152">
        <v>10</v>
      </c>
      <c r="C27" s="161">
        <v>41430</v>
      </c>
      <c r="D27" s="13" t="s">
        <v>139</v>
      </c>
      <c r="E27" s="162" t="s">
        <v>524</v>
      </c>
      <c r="F27" s="24"/>
      <c r="G27" s="162" t="s">
        <v>606</v>
      </c>
      <c r="I27" s="152" t="s">
        <v>218</v>
      </c>
    </row>
    <row r="29" spans="1:9" x14ac:dyDescent="0.2">
      <c r="A29" s="152">
        <v>11</v>
      </c>
      <c r="C29" s="161">
        <v>41442</v>
      </c>
      <c r="D29" s="13" t="s">
        <v>139</v>
      </c>
      <c r="E29" s="162" t="s">
        <v>524</v>
      </c>
      <c r="F29" s="24"/>
      <c r="G29" s="162" t="s">
        <v>607</v>
      </c>
      <c r="I29" s="152" t="s">
        <v>393</v>
      </c>
    </row>
    <row r="31" spans="1:9" x14ac:dyDescent="0.2">
      <c r="A31" s="152">
        <v>12</v>
      </c>
      <c r="C31" s="161">
        <v>41445</v>
      </c>
      <c r="D31" s="13" t="s">
        <v>244</v>
      </c>
      <c r="E31" s="162" t="s">
        <v>524</v>
      </c>
      <c r="F31" s="24"/>
      <c r="G31" s="162" t="s">
        <v>185</v>
      </c>
      <c r="I31" s="152" t="s">
        <v>43</v>
      </c>
    </row>
    <row r="33" spans="1:9" x14ac:dyDescent="0.2">
      <c r="A33" s="152">
        <v>13</v>
      </c>
      <c r="C33" s="161">
        <v>41448</v>
      </c>
      <c r="D33" s="13" t="s">
        <v>244</v>
      </c>
      <c r="E33" s="153" t="s">
        <v>563</v>
      </c>
      <c r="F33" s="24"/>
      <c r="G33" s="162" t="s">
        <v>608</v>
      </c>
      <c r="I33" s="152" t="s">
        <v>396</v>
      </c>
    </row>
    <row r="35" spans="1:9" x14ac:dyDescent="0.2">
      <c r="A35" s="152">
        <v>14</v>
      </c>
      <c r="C35" s="161">
        <v>41448</v>
      </c>
      <c r="D35" s="13" t="s">
        <v>244</v>
      </c>
      <c r="E35" s="162" t="s">
        <v>524</v>
      </c>
      <c r="F35" s="24"/>
      <c r="G35" s="162" t="s">
        <v>583</v>
      </c>
      <c r="I35" s="152" t="s">
        <v>397</v>
      </c>
    </row>
    <row r="37" spans="1:9" x14ac:dyDescent="0.2">
      <c r="A37" s="152">
        <v>15</v>
      </c>
      <c r="C37" s="161">
        <v>41489</v>
      </c>
      <c r="D37" s="13" t="s">
        <v>244</v>
      </c>
      <c r="E37" s="162" t="s">
        <v>524</v>
      </c>
      <c r="F37" s="24"/>
      <c r="G37" s="162" t="s">
        <v>609</v>
      </c>
      <c r="I37" s="152" t="s">
        <v>399</v>
      </c>
    </row>
    <row r="39" spans="1:9" x14ac:dyDescent="0.2">
      <c r="A39" s="152">
        <v>16</v>
      </c>
      <c r="C39" s="161">
        <v>41490</v>
      </c>
      <c r="D39" s="13" t="s">
        <v>244</v>
      </c>
      <c r="E39" s="162" t="s">
        <v>524</v>
      </c>
      <c r="F39" s="24"/>
      <c r="G39" s="162" t="s">
        <v>609</v>
      </c>
      <c r="I39" s="152" t="s">
        <v>400</v>
      </c>
    </row>
    <row r="41" spans="1:9" x14ac:dyDescent="0.2">
      <c r="A41" s="152">
        <v>17</v>
      </c>
      <c r="C41" s="161">
        <v>41491</v>
      </c>
      <c r="D41" s="13" t="s">
        <v>244</v>
      </c>
      <c r="E41" s="162" t="s">
        <v>524</v>
      </c>
      <c r="F41" s="24"/>
      <c r="G41" s="162" t="s">
        <v>609</v>
      </c>
      <c r="I41" s="152" t="s">
        <v>401</v>
      </c>
    </row>
    <row r="43" spans="1:9" x14ac:dyDescent="0.2">
      <c r="A43" s="152">
        <v>18</v>
      </c>
      <c r="C43" s="161">
        <v>41492</v>
      </c>
      <c r="D43" s="13" t="s">
        <v>244</v>
      </c>
      <c r="E43" s="162" t="s">
        <v>524</v>
      </c>
      <c r="F43" s="24"/>
      <c r="G43" s="162" t="s">
        <v>609</v>
      </c>
      <c r="I43" s="152" t="s">
        <v>402</v>
      </c>
    </row>
    <row r="45" spans="1:9" x14ac:dyDescent="0.2">
      <c r="A45" s="152">
        <v>19</v>
      </c>
      <c r="C45" s="161">
        <v>41494</v>
      </c>
      <c r="D45" s="13" t="s">
        <v>244</v>
      </c>
      <c r="E45" s="162" t="s">
        <v>524</v>
      </c>
      <c r="F45" s="24"/>
      <c r="G45" s="162" t="s">
        <v>609</v>
      </c>
      <c r="I45" s="152" t="s">
        <v>403</v>
      </c>
    </row>
    <row r="47" spans="1:9" x14ac:dyDescent="0.2">
      <c r="A47" s="152">
        <v>20</v>
      </c>
      <c r="C47" s="161">
        <v>41495</v>
      </c>
      <c r="D47" s="13" t="s">
        <v>244</v>
      </c>
      <c r="E47" s="162" t="s">
        <v>524</v>
      </c>
      <c r="F47" s="24"/>
      <c r="G47" s="162" t="s">
        <v>609</v>
      </c>
      <c r="I47" s="152" t="s">
        <v>404</v>
      </c>
    </row>
    <row r="49" spans="1:9" x14ac:dyDescent="0.2">
      <c r="A49" s="152">
        <v>21</v>
      </c>
      <c r="C49" s="161">
        <v>41496</v>
      </c>
      <c r="D49" s="13" t="s">
        <v>244</v>
      </c>
      <c r="E49" s="162" t="s">
        <v>524</v>
      </c>
      <c r="F49" s="24"/>
      <c r="G49" s="162" t="s">
        <v>609</v>
      </c>
      <c r="I49" s="152" t="s">
        <v>405</v>
      </c>
    </row>
    <row r="51" spans="1:9" x14ac:dyDescent="0.2">
      <c r="A51" s="152">
        <v>22</v>
      </c>
      <c r="C51" s="161">
        <v>41497</v>
      </c>
      <c r="D51" s="13" t="s">
        <v>244</v>
      </c>
      <c r="E51" s="162" t="s">
        <v>524</v>
      </c>
      <c r="F51" s="24"/>
      <c r="G51" s="162" t="s">
        <v>609</v>
      </c>
      <c r="I51" s="152" t="s">
        <v>404</v>
      </c>
    </row>
    <row r="53" spans="1:9" x14ac:dyDescent="0.2">
      <c r="A53" s="152">
        <v>23</v>
      </c>
      <c r="C53" s="161">
        <v>41497</v>
      </c>
      <c r="D53" s="13" t="s">
        <v>244</v>
      </c>
      <c r="E53" s="162" t="s">
        <v>524</v>
      </c>
      <c r="F53" s="24"/>
      <c r="G53" s="162" t="s">
        <v>609</v>
      </c>
      <c r="I53" s="152" t="s">
        <v>406</v>
      </c>
    </row>
    <row r="55" spans="1:9" x14ac:dyDescent="0.2">
      <c r="A55" s="152">
        <v>24</v>
      </c>
      <c r="C55" s="161">
        <v>41516</v>
      </c>
      <c r="D55" s="24"/>
      <c r="E55" s="157" t="s">
        <v>596</v>
      </c>
      <c r="F55" s="24"/>
      <c r="G55" s="162" t="s">
        <v>597</v>
      </c>
      <c r="I55" s="152" t="s">
        <v>408</v>
      </c>
    </row>
    <row r="57" spans="1:9" x14ac:dyDescent="0.2">
      <c r="A57" s="152">
        <v>25</v>
      </c>
      <c r="C57" s="161">
        <v>41523</v>
      </c>
      <c r="D57" s="24"/>
      <c r="E57" s="157" t="s">
        <v>539</v>
      </c>
      <c r="F57" s="24"/>
      <c r="G57" s="162" t="s">
        <v>409</v>
      </c>
      <c r="I57" s="152" t="s">
        <v>410</v>
      </c>
    </row>
    <row r="59" spans="1:9" x14ac:dyDescent="0.2">
      <c r="A59" s="152">
        <v>26</v>
      </c>
      <c r="C59" s="161">
        <v>41524</v>
      </c>
      <c r="E59" s="162" t="s">
        <v>899</v>
      </c>
      <c r="G59" s="162" t="s">
        <v>900</v>
      </c>
      <c r="I59" s="162" t="s">
        <v>902</v>
      </c>
    </row>
    <row r="61" spans="1:9" x14ac:dyDescent="0.2">
      <c r="A61" s="152">
        <v>27</v>
      </c>
      <c r="C61" s="161">
        <v>41525</v>
      </c>
      <c r="E61" s="162" t="s">
        <v>899</v>
      </c>
      <c r="G61" s="162" t="s">
        <v>900</v>
      </c>
      <c r="I61" s="162" t="s">
        <v>901</v>
      </c>
    </row>
    <row r="63" spans="1:9" x14ac:dyDescent="0.2">
      <c r="A63" s="152">
        <v>28</v>
      </c>
      <c r="C63" s="161">
        <v>41533</v>
      </c>
      <c r="D63" s="24"/>
      <c r="E63" s="157" t="s">
        <v>524</v>
      </c>
      <c r="F63" s="24"/>
      <c r="G63" s="162" t="s">
        <v>411</v>
      </c>
      <c r="I63" s="152" t="s">
        <v>30</v>
      </c>
    </row>
    <row r="65" spans="1:9" x14ac:dyDescent="0.2">
      <c r="A65" s="152">
        <v>29</v>
      </c>
      <c r="C65" s="161">
        <v>41538</v>
      </c>
      <c r="D65" s="24"/>
      <c r="E65" s="157" t="s">
        <v>610</v>
      </c>
      <c r="F65" s="24"/>
      <c r="G65" s="162" t="s">
        <v>413</v>
      </c>
      <c r="I65" s="152" t="s">
        <v>412</v>
      </c>
    </row>
    <row r="67" spans="1:9" x14ac:dyDescent="0.2">
      <c r="A67" s="152">
        <v>30</v>
      </c>
      <c r="C67" s="161">
        <v>41546</v>
      </c>
      <c r="D67" s="13" t="s">
        <v>139</v>
      </c>
      <c r="E67" s="157" t="s">
        <v>524</v>
      </c>
      <c r="F67" s="24"/>
      <c r="G67" s="162" t="s">
        <v>364</v>
      </c>
      <c r="I67" s="152" t="s">
        <v>367</v>
      </c>
    </row>
    <row r="69" spans="1:9" x14ac:dyDescent="0.2">
      <c r="A69" s="152">
        <v>31</v>
      </c>
      <c r="C69" s="161">
        <v>41553</v>
      </c>
      <c r="D69" s="13" t="s">
        <v>139</v>
      </c>
      <c r="E69" s="157" t="s">
        <v>524</v>
      </c>
      <c r="F69" s="24"/>
      <c r="G69" s="162" t="s">
        <v>364</v>
      </c>
      <c r="I69" s="152" t="s">
        <v>414</v>
      </c>
    </row>
    <row r="71" spans="1:9" x14ac:dyDescent="0.2">
      <c r="A71" s="152">
        <v>32</v>
      </c>
      <c r="C71" s="161">
        <v>41558</v>
      </c>
      <c r="D71" s="13" t="s">
        <v>139</v>
      </c>
      <c r="E71" s="157" t="s">
        <v>539</v>
      </c>
      <c r="F71" s="24"/>
      <c r="G71" s="162" t="s">
        <v>415</v>
      </c>
      <c r="I71" s="152" t="s">
        <v>104</v>
      </c>
    </row>
    <row r="73" spans="1:9" x14ac:dyDescent="0.2">
      <c r="A73" s="152">
        <v>33</v>
      </c>
      <c r="C73" s="161">
        <v>41560</v>
      </c>
      <c r="D73" s="13" t="s">
        <v>139</v>
      </c>
      <c r="E73" s="157" t="s">
        <v>611</v>
      </c>
      <c r="F73" s="24"/>
      <c r="G73" s="162" t="s">
        <v>416</v>
      </c>
      <c r="I73" s="152" t="s">
        <v>383</v>
      </c>
    </row>
    <row r="75" spans="1:9" x14ac:dyDescent="0.2">
      <c r="A75" s="152">
        <v>34</v>
      </c>
      <c r="C75" s="161">
        <v>41560</v>
      </c>
      <c r="D75" s="13" t="s">
        <v>139</v>
      </c>
      <c r="E75" s="157" t="s">
        <v>524</v>
      </c>
      <c r="F75" s="24"/>
      <c r="G75" s="162" t="s">
        <v>364</v>
      </c>
      <c r="I75" s="152" t="s">
        <v>417</v>
      </c>
    </row>
    <row r="77" spans="1:9" x14ac:dyDescent="0.2">
      <c r="A77" s="152">
        <v>35</v>
      </c>
      <c r="C77" s="161">
        <v>41567</v>
      </c>
      <c r="D77" s="13" t="s">
        <v>139</v>
      </c>
      <c r="E77" s="157" t="s">
        <v>524</v>
      </c>
      <c r="F77" s="24"/>
      <c r="G77" s="162" t="s">
        <v>364</v>
      </c>
      <c r="I77" s="152" t="s">
        <v>418</v>
      </c>
    </row>
    <row r="79" spans="1:9" x14ac:dyDescent="0.2">
      <c r="A79" s="152">
        <v>36</v>
      </c>
      <c r="C79" s="161">
        <v>41573</v>
      </c>
      <c r="D79" s="13" t="s">
        <v>139</v>
      </c>
      <c r="E79" s="157" t="s">
        <v>524</v>
      </c>
      <c r="F79" s="24"/>
      <c r="G79" s="162" t="s">
        <v>419</v>
      </c>
      <c r="I79" s="152" t="s">
        <v>366</v>
      </c>
    </row>
    <row r="80" spans="1:9" x14ac:dyDescent="0.2">
      <c r="A80" s="152">
        <v>37</v>
      </c>
      <c r="C80" s="161">
        <v>41573</v>
      </c>
      <c r="D80" s="13" t="s">
        <v>139</v>
      </c>
      <c r="E80" s="157" t="s">
        <v>524</v>
      </c>
      <c r="F80" s="24"/>
      <c r="G80" s="162" t="s">
        <v>419</v>
      </c>
      <c r="I80" s="152" t="s">
        <v>420</v>
      </c>
    </row>
    <row r="82" spans="1:9" x14ac:dyDescent="0.2">
      <c r="A82" s="152">
        <v>38</v>
      </c>
      <c r="C82" s="161">
        <v>41575</v>
      </c>
      <c r="D82" s="13" t="s">
        <v>139</v>
      </c>
      <c r="E82" s="157" t="s">
        <v>524</v>
      </c>
      <c r="F82" s="24"/>
      <c r="G82" s="162" t="s">
        <v>419</v>
      </c>
      <c r="I82" s="152" t="s">
        <v>366</v>
      </c>
    </row>
    <row r="83" spans="1:9" x14ac:dyDescent="0.2">
      <c r="A83" s="152">
        <v>39</v>
      </c>
      <c r="C83" s="161">
        <v>41575</v>
      </c>
      <c r="D83" s="13" t="s">
        <v>139</v>
      </c>
      <c r="E83" s="157" t="s">
        <v>524</v>
      </c>
      <c r="F83" s="24"/>
      <c r="G83" s="162" t="s">
        <v>419</v>
      </c>
      <c r="I83" s="152" t="s">
        <v>420</v>
      </c>
    </row>
    <row r="85" spans="1:9" x14ac:dyDescent="0.2">
      <c r="A85" s="152">
        <v>40</v>
      </c>
      <c r="C85" s="161">
        <v>41576</v>
      </c>
      <c r="D85" s="13" t="s">
        <v>139</v>
      </c>
      <c r="E85" s="157" t="s">
        <v>524</v>
      </c>
      <c r="F85" s="24"/>
      <c r="G85" s="162" t="s">
        <v>419</v>
      </c>
      <c r="I85" s="152" t="s">
        <v>366</v>
      </c>
    </row>
    <row r="86" spans="1:9" x14ac:dyDescent="0.2">
      <c r="A86" s="152">
        <v>41</v>
      </c>
      <c r="C86" s="161">
        <v>41576</v>
      </c>
      <c r="D86" s="13" t="s">
        <v>139</v>
      </c>
      <c r="E86" s="157" t="s">
        <v>524</v>
      </c>
      <c r="F86" s="24"/>
      <c r="G86" s="162" t="s">
        <v>419</v>
      </c>
      <c r="I86" s="152" t="s">
        <v>420</v>
      </c>
    </row>
    <row r="88" spans="1:9" x14ac:dyDescent="0.2">
      <c r="A88" s="152">
        <v>42</v>
      </c>
      <c r="C88" s="161">
        <v>41577</v>
      </c>
      <c r="D88" s="13" t="s">
        <v>139</v>
      </c>
      <c r="E88" s="157" t="s">
        <v>524</v>
      </c>
      <c r="F88" s="24"/>
      <c r="G88" s="162" t="s">
        <v>419</v>
      </c>
      <c r="I88" s="152" t="s">
        <v>366</v>
      </c>
    </row>
    <row r="89" spans="1:9" x14ac:dyDescent="0.2">
      <c r="A89" s="152">
        <v>43</v>
      </c>
      <c r="C89" s="161">
        <v>41577</v>
      </c>
      <c r="D89" s="13" t="s">
        <v>139</v>
      </c>
      <c r="E89" s="157" t="s">
        <v>524</v>
      </c>
      <c r="F89" s="24"/>
      <c r="G89" s="162" t="s">
        <v>419</v>
      </c>
      <c r="I89" s="152" t="s">
        <v>420</v>
      </c>
    </row>
    <row r="91" spans="1:9" x14ac:dyDescent="0.2">
      <c r="A91" s="152">
        <v>44</v>
      </c>
      <c r="C91" s="161">
        <v>41578</v>
      </c>
      <c r="D91" s="13" t="s">
        <v>139</v>
      </c>
      <c r="E91" s="157" t="s">
        <v>524</v>
      </c>
      <c r="F91" s="24"/>
      <c r="G91" s="162" t="s">
        <v>419</v>
      </c>
      <c r="I91" s="152" t="s">
        <v>366</v>
      </c>
    </row>
    <row r="92" spans="1:9" x14ac:dyDescent="0.2">
      <c r="A92" s="152">
        <v>45</v>
      </c>
      <c r="C92" s="161">
        <v>41578</v>
      </c>
      <c r="D92" s="13" t="s">
        <v>139</v>
      </c>
      <c r="E92" s="157" t="s">
        <v>524</v>
      </c>
      <c r="F92" s="24"/>
      <c r="G92" s="162" t="s">
        <v>419</v>
      </c>
      <c r="I92" s="152" t="s">
        <v>420</v>
      </c>
    </row>
    <row r="94" spans="1:9" x14ac:dyDescent="0.2">
      <c r="A94" s="152">
        <v>46</v>
      </c>
      <c r="C94" s="161">
        <v>41579</v>
      </c>
      <c r="D94" s="13" t="s">
        <v>139</v>
      </c>
      <c r="E94" s="157" t="s">
        <v>524</v>
      </c>
      <c r="F94" s="24"/>
      <c r="G94" s="162" t="s">
        <v>419</v>
      </c>
      <c r="I94" s="152" t="s">
        <v>366</v>
      </c>
    </row>
    <row r="95" spans="1:9" x14ac:dyDescent="0.2">
      <c r="A95" s="152">
        <v>47</v>
      </c>
      <c r="C95" s="161">
        <v>41579</v>
      </c>
      <c r="D95" s="13" t="s">
        <v>139</v>
      </c>
      <c r="E95" s="157" t="s">
        <v>524</v>
      </c>
      <c r="F95" s="24"/>
      <c r="G95" s="162" t="s">
        <v>419</v>
      </c>
      <c r="I95" s="152" t="s">
        <v>420</v>
      </c>
    </row>
    <row r="97" spans="1:9" x14ac:dyDescent="0.2">
      <c r="A97" s="152">
        <v>48</v>
      </c>
      <c r="C97" s="161">
        <v>41580</v>
      </c>
      <c r="D97" s="13" t="s">
        <v>139</v>
      </c>
      <c r="E97" s="157" t="s">
        <v>524</v>
      </c>
      <c r="F97" s="24"/>
      <c r="G97" s="162" t="s">
        <v>419</v>
      </c>
      <c r="I97" s="152" t="s">
        <v>366</v>
      </c>
    </row>
    <row r="98" spans="1:9" x14ac:dyDescent="0.2">
      <c r="A98" s="152">
        <v>49</v>
      </c>
      <c r="C98" s="161">
        <v>41580</v>
      </c>
      <c r="D98" s="13" t="s">
        <v>139</v>
      </c>
      <c r="E98" s="157" t="s">
        <v>524</v>
      </c>
      <c r="F98" s="24"/>
      <c r="G98" s="162" t="s">
        <v>419</v>
      </c>
      <c r="I98" s="152" t="s">
        <v>420</v>
      </c>
    </row>
    <row r="100" spans="1:9" x14ac:dyDescent="0.2">
      <c r="A100" s="152">
        <v>50</v>
      </c>
      <c r="C100" s="161">
        <v>41594</v>
      </c>
      <c r="D100" s="13" t="s">
        <v>139</v>
      </c>
      <c r="E100" s="157" t="s">
        <v>612</v>
      </c>
      <c r="F100" s="24"/>
      <c r="G100" s="162" t="s">
        <v>613</v>
      </c>
      <c r="I100" s="152" t="s">
        <v>421</v>
      </c>
    </row>
    <row r="102" spans="1:9" x14ac:dyDescent="0.2">
      <c r="A102" s="152">
        <v>51</v>
      </c>
      <c r="C102" s="161">
        <v>41602</v>
      </c>
      <c r="D102" s="13" t="s">
        <v>139</v>
      </c>
      <c r="E102" s="157" t="s">
        <v>614</v>
      </c>
      <c r="F102" s="24"/>
      <c r="G102" s="162" t="s">
        <v>615</v>
      </c>
      <c r="I102" s="152" t="s">
        <v>424</v>
      </c>
    </row>
  </sheetData>
  <mergeCells count="2">
    <mergeCell ref="D2:G2"/>
    <mergeCell ref="C4:D4"/>
  </mergeCells>
  <pageMargins left="0.3" right="0.15748031496062992" top="0.74803149606299213" bottom="0.74803149606299213" header="0.31496062992125984" footer="0.31496062992125984"/>
  <pageSetup paperSize="9" scale="9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4DCD-135B-4E78-9921-F39DD4682F54}">
  <dimension ref="A1:K51"/>
  <sheetViews>
    <sheetView workbookViewId="0">
      <selection activeCell="M32" sqref="M32"/>
    </sheetView>
  </sheetViews>
  <sheetFormatPr defaultRowHeight="12.75" x14ac:dyDescent="0.2"/>
  <cols>
    <col min="1" max="1" width="3" style="24" customWidth="1"/>
    <col min="2" max="2" width="0.7109375" customWidth="1"/>
    <col min="3" max="3" width="10" customWidth="1"/>
    <col min="4" max="4" width="1.5703125" customWidth="1"/>
    <col min="5" max="5" width="19" bestFit="1" customWidth="1"/>
    <col min="6" max="6" width="0.85546875" customWidth="1"/>
    <col min="7" max="7" width="56.140625" customWidth="1"/>
    <col min="8" max="8" width="0.85546875" customWidth="1"/>
    <col min="9" max="9" width="11.28515625" style="155" bestFit="1" customWidth="1"/>
    <col min="10" max="10" width="0.85546875" hidden="1" customWidth="1"/>
    <col min="11" max="11" width="5.7109375" style="39" customWidth="1"/>
  </cols>
  <sheetData>
    <row r="1" spans="1:11" ht="13.5" thickBot="1" x14ac:dyDescent="0.25"/>
    <row r="2" spans="1:11" ht="15.75" thickBot="1" x14ac:dyDescent="0.3">
      <c r="D2" s="303" t="s">
        <v>425</v>
      </c>
      <c r="E2" s="316"/>
      <c r="F2" s="316"/>
      <c r="G2" s="304"/>
    </row>
    <row r="4" spans="1:11" x14ac:dyDescent="0.2">
      <c r="A4" s="31"/>
      <c r="C4" s="305" t="s">
        <v>163</v>
      </c>
      <c r="D4" s="305"/>
      <c r="E4" s="32"/>
      <c r="F4" s="32"/>
    </row>
    <row r="5" spans="1:11" ht="13.5" thickBot="1" x14ac:dyDescent="0.25"/>
    <row r="6" spans="1:11" ht="15.75" thickBot="1" x14ac:dyDescent="0.3">
      <c r="C6" s="8" t="s">
        <v>1</v>
      </c>
      <c r="E6" s="8" t="s">
        <v>529</v>
      </c>
      <c r="G6" s="8" t="s">
        <v>2</v>
      </c>
      <c r="H6" s="2"/>
      <c r="I6" s="156" t="s">
        <v>279</v>
      </c>
      <c r="J6" s="38"/>
      <c r="K6" s="40"/>
    </row>
    <row r="9" spans="1:11" x14ac:dyDescent="0.2">
      <c r="A9" s="152">
        <v>1</v>
      </c>
      <c r="C9" s="3">
        <v>41647</v>
      </c>
      <c r="E9" s="21" t="s">
        <v>524</v>
      </c>
      <c r="G9" s="21" t="s">
        <v>426</v>
      </c>
      <c r="I9" s="152" t="s">
        <v>427</v>
      </c>
      <c r="J9" s="2"/>
    </row>
    <row r="11" spans="1:11" x14ac:dyDescent="0.2">
      <c r="A11" s="152">
        <v>2</v>
      </c>
      <c r="C11" s="3">
        <v>41668</v>
      </c>
      <c r="D11" s="13"/>
      <c r="E11" s="21" t="s">
        <v>524</v>
      </c>
      <c r="F11" s="24"/>
      <c r="G11" s="4" t="s">
        <v>454</v>
      </c>
      <c r="I11" s="152" t="s">
        <v>428</v>
      </c>
      <c r="J11" s="2"/>
    </row>
    <row r="12" spans="1:11" x14ac:dyDescent="0.2">
      <c r="D12" s="24"/>
      <c r="E12" s="24"/>
      <c r="F12" s="24"/>
    </row>
    <row r="13" spans="1:11" x14ac:dyDescent="0.2">
      <c r="A13" s="152">
        <v>3</v>
      </c>
      <c r="C13" s="3">
        <v>41673</v>
      </c>
      <c r="D13" s="24"/>
      <c r="E13" s="21" t="s">
        <v>524</v>
      </c>
      <c r="F13" s="24"/>
      <c r="G13" s="4" t="s">
        <v>429</v>
      </c>
      <c r="I13" s="152" t="s">
        <v>295</v>
      </c>
    </row>
    <row r="15" spans="1:11" x14ac:dyDescent="0.2">
      <c r="A15" s="152">
        <v>4</v>
      </c>
      <c r="C15" s="3">
        <v>41706</v>
      </c>
      <c r="D15" s="24"/>
      <c r="E15" s="21" t="s">
        <v>524</v>
      </c>
      <c r="F15" s="24"/>
      <c r="G15" s="4" t="s">
        <v>581</v>
      </c>
      <c r="I15" s="152" t="s">
        <v>434</v>
      </c>
    </row>
    <row r="17" spans="1:9" x14ac:dyDescent="0.2">
      <c r="A17" s="152">
        <v>5</v>
      </c>
      <c r="C17" s="3">
        <v>41754</v>
      </c>
      <c r="D17" s="24"/>
      <c r="E17" s="21" t="s">
        <v>524</v>
      </c>
      <c r="F17" s="24"/>
      <c r="G17" s="4" t="s">
        <v>430</v>
      </c>
      <c r="I17" s="152" t="s">
        <v>324</v>
      </c>
    </row>
    <row r="19" spans="1:9" x14ac:dyDescent="0.2">
      <c r="A19" s="152">
        <v>6</v>
      </c>
      <c r="C19" s="3">
        <v>41754</v>
      </c>
      <c r="D19" s="24"/>
      <c r="E19" s="21" t="s">
        <v>524</v>
      </c>
      <c r="F19" s="24"/>
      <c r="G19" s="4" t="s">
        <v>431</v>
      </c>
      <c r="I19" s="152" t="s">
        <v>432</v>
      </c>
    </row>
    <row r="21" spans="1:9" x14ac:dyDescent="0.2">
      <c r="A21" s="152">
        <v>7</v>
      </c>
      <c r="C21" s="3">
        <v>41755</v>
      </c>
      <c r="D21" s="24"/>
      <c r="E21" s="21" t="s">
        <v>524</v>
      </c>
      <c r="F21" s="24"/>
      <c r="G21" s="4" t="s">
        <v>431</v>
      </c>
      <c r="I21" s="152" t="s">
        <v>432</v>
      </c>
    </row>
    <row r="23" spans="1:9" x14ac:dyDescent="0.2">
      <c r="A23" s="152">
        <v>8</v>
      </c>
      <c r="C23" s="3">
        <v>41756</v>
      </c>
      <c r="D23" s="24"/>
      <c r="E23" s="21" t="s">
        <v>524</v>
      </c>
      <c r="F23" s="24"/>
      <c r="G23" s="4" t="s">
        <v>431</v>
      </c>
      <c r="I23" s="152" t="s">
        <v>432</v>
      </c>
    </row>
    <row r="25" spans="1:9" x14ac:dyDescent="0.2">
      <c r="A25" s="152">
        <v>9</v>
      </c>
      <c r="C25" s="3">
        <v>41783</v>
      </c>
      <c r="E25" s="21" t="s">
        <v>524</v>
      </c>
      <c r="G25" s="30" t="s">
        <v>592</v>
      </c>
      <c r="I25" s="152" t="s">
        <v>400</v>
      </c>
    </row>
    <row r="27" spans="1:9" x14ac:dyDescent="0.2">
      <c r="A27" s="152">
        <v>10</v>
      </c>
      <c r="C27" s="34">
        <v>41799</v>
      </c>
      <c r="D27" s="24"/>
      <c r="E27" s="21" t="s">
        <v>524</v>
      </c>
      <c r="F27" s="24"/>
      <c r="G27" s="21" t="s">
        <v>582</v>
      </c>
      <c r="I27" s="152" t="s">
        <v>437</v>
      </c>
    </row>
    <row r="29" spans="1:9" x14ac:dyDescent="0.2">
      <c r="A29" s="152">
        <v>11</v>
      </c>
      <c r="C29" s="34">
        <v>41810</v>
      </c>
      <c r="D29" s="24"/>
      <c r="E29" s="21" t="s">
        <v>524</v>
      </c>
      <c r="F29" s="24"/>
      <c r="G29" s="30" t="s">
        <v>593</v>
      </c>
      <c r="I29" s="152" t="s">
        <v>34</v>
      </c>
    </row>
    <row r="31" spans="1:9" x14ac:dyDescent="0.2">
      <c r="A31" s="152">
        <v>12</v>
      </c>
      <c r="C31" s="34">
        <v>41813</v>
      </c>
      <c r="D31" s="24"/>
      <c r="E31" s="21" t="s">
        <v>524</v>
      </c>
      <c r="F31" s="24"/>
      <c r="G31" s="21" t="s">
        <v>583</v>
      </c>
      <c r="I31" s="152" t="s">
        <v>438</v>
      </c>
    </row>
    <row r="33" spans="1:9" x14ac:dyDescent="0.2">
      <c r="A33" s="152">
        <v>13</v>
      </c>
      <c r="C33" s="34">
        <v>41833</v>
      </c>
      <c r="D33" s="24"/>
      <c r="E33" s="21" t="s">
        <v>524</v>
      </c>
      <c r="F33" s="24"/>
      <c r="G33" s="21" t="s">
        <v>584</v>
      </c>
      <c r="I33" s="152" t="s">
        <v>440</v>
      </c>
    </row>
    <row r="35" spans="1:9" x14ac:dyDescent="0.2">
      <c r="A35" s="152">
        <v>14</v>
      </c>
      <c r="C35" s="34">
        <v>41834</v>
      </c>
      <c r="D35" s="24"/>
      <c r="E35" s="21" t="s">
        <v>524</v>
      </c>
      <c r="F35" s="24"/>
      <c r="G35" s="21" t="s">
        <v>585</v>
      </c>
      <c r="I35" s="152" t="s">
        <v>442</v>
      </c>
    </row>
    <row r="37" spans="1:9" x14ac:dyDescent="0.2">
      <c r="A37" s="152">
        <v>15</v>
      </c>
      <c r="C37" s="34">
        <v>41916</v>
      </c>
      <c r="D37" s="24"/>
      <c r="E37" s="153" t="s">
        <v>586</v>
      </c>
      <c r="F37" s="24"/>
      <c r="G37" s="21" t="s">
        <v>589</v>
      </c>
      <c r="I37" s="152" t="s">
        <v>64</v>
      </c>
    </row>
    <row r="39" spans="1:9" x14ac:dyDescent="0.2">
      <c r="A39" s="152">
        <v>16</v>
      </c>
      <c r="C39" s="34">
        <v>41924</v>
      </c>
      <c r="D39" s="24"/>
      <c r="E39" s="21" t="s">
        <v>524</v>
      </c>
      <c r="F39" s="24"/>
      <c r="G39" s="21" t="s">
        <v>444</v>
      </c>
      <c r="I39" s="152" t="s">
        <v>445</v>
      </c>
    </row>
    <row r="41" spans="1:9" x14ac:dyDescent="0.2">
      <c r="A41" s="152">
        <v>17</v>
      </c>
      <c r="C41" s="34">
        <v>41929</v>
      </c>
      <c r="D41" s="24"/>
      <c r="E41" s="154" t="s">
        <v>587</v>
      </c>
      <c r="F41" s="24"/>
      <c r="G41" s="21" t="s">
        <v>588</v>
      </c>
      <c r="I41" s="152" t="s">
        <v>447</v>
      </c>
    </row>
    <row r="43" spans="1:9" x14ac:dyDescent="0.2">
      <c r="A43" s="152">
        <v>18</v>
      </c>
      <c r="C43" s="34">
        <v>41931</v>
      </c>
      <c r="D43" s="24"/>
      <c r="E43" s="21" t="s">
        <v>524</v>
      </c>
      <c r="F43" s="24"/>
      <c r="G43" s="21" t="s">
        <v>590</v>
      </c>
      <c r="I43" s="152" t="s">
        <v>449</v>
      </c>
    </row>
    <row r="45" spans="1:9" x14ac:dyDescent="0.2">
      <c r="A45" s="152">
        <v>19</v>
      </c>
      <c r="C45" s="34">
        <v>41937</v>
      </c>
      <c r="D45" s="24"/>
      <c r="E45" s="21" t="s">
        <v>524</v>
      </c>
      <c r="F45" s="24"/>
      <c r="G45" s="21" t="s">
        <v>580</v>
      </c>
      <c r="I45" s="152" t="s">
        <v>420</v>
      </c>
    </row>
    <row r="47" spans="1:9" x14ac:dyDescent="0.2">
      <c r="A47" s="152">
        <v>20</v>
      </c>
      <c r="C47" s="34">
        <v>41943</v>
      </c>
      <c r="D47" s="24"/>
      <c r="E47" s="21" t="s">
        <v>524</v>
      </c>
      <c r="F47" s="24"/>
      <c r="G47" s="21" t="s">
        <v>580</v>
      </c>
      <c r="I47" s="152" t="s">
        <v>420</v>
      </c>
    </row>
    <row r="49" spans="1:9" x14ac:dyDescent="0.2">
      <c r="A49" s="152">
        <v>21</v>
      </c>
      <c r="C49" s="34">
        <v>41945</v>
      </c>
      <c r="D49" s="24"/>
      <c r="E49" s="21" t="s">
        <v>524</v>
      </c>
      <c r="F49" s="24"/>
      <c r="G49" s="21" t="s">
        <v>580</v>
      </c>
      <c r="I49" s="152" t="s">
        <v>451</v>
      </c>
    </row>
    <row r="51" spans="1:9" x14ac:dyDescent="0.2">
      <c r="A51" s="152">
        <v>22</v>
      </c>
      <c r="C51" s="34">
        <v>41987</v>
      </c>
      <c r="D51" s="24"/>
      <c r="E51" s="21" t="s">
        <v>524</v>
      </c>
      <c r="F51" s="24"/>
      <c r="G51" s="21" t="s">
        <v>591</v>
      </c>
      <c r="I51" s="152" t="s">
        <v>452</v>
      </c>
    </row>
  </sheetData>
  <mergeCells count="2">
    <mergeCell ref="D2:G2"/>
    <mergeCell ref="C4:D4"/>
  </mergeCells>
  <pageMargins left="0.14000000000000001" right="0.17" top="0.28000000000000003" bottom="0.28000000000000003" header="0.18" footer="0.19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6F67-4A3C-4078-86A3-FA473BA58B8A}">
  <dimension ref="A1:K47"/>
  <sheetViews>
    <sheetView topLeftCell="A8" workbookViewId="0">
      <selection activeCell="K32" sqref="K32"/>
    </sheetView>
  </sheetViews>
  <sheetFormatPr defaultRowHeight="12.75" x14ac:dyDescent="0.2"/>
  <cols>
    <col min="1" max="1" width="3" style="48" bestFit="1" customWidth="1"/>
    <col min="2" max="2" width="0.85546875" customWidth="1"/>
    <col min="3" max="3" width="10.140625" customWidth="1"/>
    <col min="4" max="4" width="2.42578125" customWidth="1"/>
    <col min="5" max="5" width="13.42578125" bestFit="1" customWidth="1"/>
    <col min="6" max="6" width="0.85546875" customWidth="1"/>
    <col min="7" max="7" width="60" bestFit="1" customWidth="1"/>
    <col min="8" max="8" width="0.85546875" customWidth="1"/>
    <col min="9" max="9" width="11.85546875" customWidth="1"/>
  </cols>
  <sheetData>
    <row r="1" spans="1:11" x14ac:dyDescent="0.2">
      <c r="K1" s="39"/>
    </row>
    <row r="2" spans="1:11" ht="12.75" customHeight="1" x14ac:dyDescent="0.2">
      <c r="E2" s="330" t="s">
        <v>455</v>
      </c>
      <c r="F2" s="331"/>
      <c r="G2" s="332"/>
      <c r="K2" s="39"/>
    </row>
    <row r="3" spans="1:11" x14ac:dyDescent="0.2">
      <c r="K3" s="39"/>
    </row>
    <row r="4" spans="1:11" x14ac:dyDescent="0.2">
      <c r="C4" s="329"/>
      <c r="D4" s="329"/>
      <c r="E4" s="329"/>
      <c r="F4" s="329"/>
      <c r="K4" s="39"/>
    </row>
    <row r="5" spans="1:11" ht="13.5" thickBot="1" x14ac:dyDescent="0.25">
      <c r="K5" s="39"/>
    </row>
    <row r="6" spans="1:11" ht="15.75" thickBot="1" x14ac:dyDescent="0.3">
      <c r="C6" s="8" t="s">
        <v>1</v>
      </c>
      <c r="D6" s="38"/>
      <c r="E6" s="8" t="s">
        <v>529</v>
      </c>
      <c r="G6" s="8" t="s">
        <v>2</v>
      </c>
      <c r="H6" s="2"/>
      <c r="I6" s="8" t="s">
        <v>279</v>
      </c>
      <c r="J6" s="38"/>
      <c r="K6" s="40"/>
    </row>
    <row r="7" spans="1:11" x14ac:dyDescent="0.2">
      <c r="K7" s="39"/>
    </row>
    <row r="8" spans="1:11" x14ac:dyDescent="0.2">
      <c r="K8" s="39"/>
    </row>
    <row r="9" spans="1:11" x14ac:dyDescent="0.2">
      <c r="A9" s="47">
        <v>1</v>
      </c>
      <c r="C9" s="3">
        <v>42009</v>
      </c>
      <c r="D9" s="1"/>
      <c r="E9" s="22" t="s">
        <v>565</v>
      </c>
      <c r="G9" s="30" t="s">
        <v>566</v>
      </c>
      <c r="I9" s="17" t="s">
        <v>458</v>
      </c>
      <c r="J9" s="2"/>
      <c r="K9" s="39"/>
    </row>
    <row r="11" spans="1:11" x14ac:dyDescent="0.2">
      <c r="A11" s="47">
        <v>2</v>
      </c>
      <c r="C11" s="3">
        <v>42049</v>
      </c>
      <c r="D11" s="1"/>
      <c r="E11" s="22" t="s">
        <v>524</v>
      </c>
      <c r="G11" s="21" t="s">
        <v>456</v>
      </c>
      <c r="I11" s="5" t="s">
        <v>373</v>
      </c>
      <c r="J11" s="2"/>
      <c r="K11" s="39"/>
    </row>
    <row r="13" spans="1:11" x14ac:dyDescent="0.2">
      <c r="A13" s="47">
        <v>3</v>
      </c>
      <c r="C13" s="22">
        <v>42092</v>
      </c>
      <c r="D13" s="1"/>
      <c r="E13" s="22" t="s">
        <v>524</v>
      </c>
      <c r="G13" s="21" t="s">
        <v>567</v>
      </c>
      <c r="I13" s="21" t="s">
        <v>373</v>
      </c>
    </row>
    <row r="15" spans="1:11" x14ac:dyDescent="0.2">
      <c r="A15" s="47">
        <v>4</v>
      </c>
      <c r="C15" s="22">
        <v>42094</v>
      </c>
      <c r="D15" s="1"/>
      <c r="E15" s="22" t="s">
        <v>524</v>
      </c>
      <c r="G15" s="21" t="s">
        <v>568</v>
      </c>
      <c r="I15" s="21" t="s">
        <v>218</v>
      </c>
    </row>
    <row r="17" spans="1:9" x14ac:dyDescent="0.2">
      <c r="A17" s="47">
        <v>5</v>
      </c>
      <c r="C17" s="22">
        <v>42097</v>
      </c>
      <c r="D17" s="1"/>
      <c r="E17" s="22" t="s">
        <v>524</v>
      </c>
      <c r="G17" s="21" t="s">
        <v>569</v>
      </c>
      <c r="I17" s="21" t="s">
        <v>34</v>
      </c>
    </row>
    <row r="19" spans="1:9" x14ac:dyDescent="0.2">
      <c r="A19" s="47">
        <v>6</v>
      </c>
      <c r="C19" s="22">
        <v>42106</v>
      </c>
      <c r="D19" s="1"/>
      <c r="E19" s="22" t="s">
        <v>524</v>
      </c>
      <c r="G19" s="21" t="s">
        <v>570</v>
      </c>
      <c r="I19" s="21" t="s">
        <v>218</v>
      </c>
    </row>
    <row r="21" spans="1:9" x14ac:dyDescent="0.2">
      <c r="A21" s="47">
        <v>7</v>
      </c>
      <c r="C21" s="22">
        <v>42119</v>
      </c>
      <c r="D21" s="1"/>
      <c r="E21" s="22" t="s">
        <v>524</v>
      </c>
      <c r="G21" s="21" t="s">
        <v>571</v>
      </c>
      <c r="I21" s="21" t="s">
        <v>464</v>
      </c>
    </row>
    <row r="23" spans="1:9" x14ac:dyDescent="0.2">
      <c r="A23" s="47">
        <v>8</v>
      </c>
      <c r="C23" s="22">
        <v>42126</v>
      </c>
      <c r="D23" s="1"/>
      <c r="E23" s="22" t="s">
        <v>524</v>
      </c>
      <c r="G23" s="21" t="s">
        <v>572</v>
      </c>
      <c r="I23" s="21" t="s">
        <v>400</v>
      </c>
    </row>
    <row r="25" spans="1:9" x14ac:dyDescent="0.2">
      <c r="A25" s="47">
        <v>9</v>
      </c>
      <c r="C25" s="22">
        <v>42133</v>
      </c>
      <c r="D25" s="1"/>
      <c r="E25" s="22" t="s">
        <v>524</v>
      </c>
      <c r="G25" s="21" t="s">
        <v>573</v>
      </c>
      <c r="I25" s="21" t="s">
        <v>467</v>
      </c>
    </row>
    <row r="27" spans="1:9" x14ac:dyDescent="0.2">
      <c r="A27" s="47">
        <v>10</v>
      </c>
      <c r="C27" s="22">
        <v>42138</v>
      </c>
      <c r="D27" s="1"/>
      <c r="E27" s="22" t="s">
        <v>524</v>
      </c>
      <c r="G27" s="21" t="s">
        <v>572</v>
      </c>
      <c r="I27" s="21" t="s">
        <v>400</v>
      </c>
    </row>
    <row r="29" spans="1:9" x14ac:dyDescent="0.2">
      <c r="A29" s="47">
        <v>11</v>
      </c>
      <c r="C29" s="22">
        <v>42157</v>
      </c>
      <c r="D29" s="1"/>
      <c r="E29" s="22" t="s">
        <v>524</v>
      </c>
      <c r="G29" s="30" t="s">
        <v>574</v>
      </c>
      <c r="I29" s="30" t="s">
        <v>469</v>
      </c>
    </row>
    <row r="31" spans="1:9" x14ac:dyDescent="0.2">
      <c r="A31" s="47">
        <v>12</v>
      </c>
      <c r="C31" s="22">
        <v>42160</v>
      </c>
      <c r="D31" s="1"/>
      <c r="E31" s="22" t="s">
        <v>524</v>
      </c>
      <c r="G31" s="30" t="s">
        <v>575</v>
      </c>
      <c r="I31" s="30" t="s">
        <v>471</v>
      </c>
    </row>
    <row r="33" spans="1:9" x14ac:dyDescent="0.2">
      <c r="A33" s="47">
        <v>13</v>
      </c>
      <c r="C33" s="22">
        <v>42174</v>
      </c>
      <c r="D33" s="1"/>
      <c r="E33" s="22" t="s">
        <v>524</v>
      </c>
      <c r="G33" s="30" t="s">
        <v>576</v>
      </c>
      <c r="I33" s="30" t="s">
        <v>473</v>
      </c>
    </row>
    <row r="35" spans="1:9" x14ac:dyDescent="0.2">
      <c r="A35" s="47">
        <v>14</v>
      </c>
      <c r="C35" s="22">
        <v>42176</v>
      </c>
      <c r="D35" s="1"/>
      <c r="E35" s="22" t="s">
        <v>524</v>
      </c>
      <c r="G35" s="30" t="s">
        <v>577</v>
      </c>
      <c r="I35" s="30" t="s">
        <v>475</v>
      </c>
    </row>
    <row r="37" spans="1:9" x14ac:dyDescent="0.2">
      <c r="A37" s="47">
        <v>15</v>
      </c>
      <c r="C37" s="22">
        <v>42177</v>
      </c>
      <c r="D37" s="1"/>
      <c r="E37" s="22" t="s">
        <v>524</v>
      </c>
      <c r="G37" s="30" t="s">
        <v>577</v>
      </c>
      <c r="I37" s="30" t="s">
        <v>56</v>
      </c>
    </row>
    <row r="39" spans="1:9" x14ac:dyDescent="0.2">
      <c r="A39" s="47">
        <v>16</v>
      </c>
      <c r="C39" s="22">
        <v>42236</v>
      </c>
      <c r="D39" s="1"/>
      <c r="E39" s="22" t="s">
        <v>524</v>
      </c>
      <c r="G39" s="21" t="s">
        <v>578</v>
      </c>
      <c r="I39" s="21" t="s">
        <v>449</v>
      </c>
    </row>
    <row r="41" spans="1:9" x14ac:dyDescent="0.2">
      <c r="A41" s="47">
        <v>17</v>
      </c>
      <c r="C41" s="22">
        <v>42284</v>
      </c>
      <c r="D41" s="1"/>
      <c r="E41" s="22" t="s">
        <v>524</v>
      </c>
      <c r="G41" s="21" t="s">
        <v>579</v>
      </c>
      <c r="I41" s="21" t="s">
        <v>92</v>
      </c>
    </row>
    <row r="43" spans="1:9" x14ac:dyDescent="0.2">
      <c r="A43" s="47">
        <v>18</v>
      </c>
      <c r="C43" s="22">
        <v>42287</v>
      </c>
      <c r="D43" s="1"/>
      <c r="E43" s="22" t="s">
        <v>524</v>
      </c>
      <c r="G43" s="21" t="s">
        <v>579</v>
      </c>
      <c r="I43" s="21" t="s">
        <v>400</v>
      </c>
    </row>
    <row r="45" spans="1:9" x14ac:dyDescent="0.2">
      <c r="A45" s="47">
        <v>19</v>
      </c>
      <c r="C45" s="49">
        <v>42288</v>
      </c>
      <c r="D45" s="1"/>
      <c r="E45" s="49" t="s">
        <v>524</v>
      </c>
      <c r="G45" s="50" t="s">
        <v>579</v>
      </c>
      <c r="I45" s="50" t="s">
        <v>400</v>
      </c>
    </row>
    <row r="47" spans="1:9" x14ac:dyDescent="0.2">
      <c r="A47" s="47">
        <v>20</v>
      </c>
      <c r="C47" s="22">
        <v>42301</v>
      </c>
      <c r="D47" s="1"/>
      <c r="E47" s="22" t="s">
        <v>524</v>
      </c>
      <c r="G47" s="21" t="s">
        <v>580</v>
      </c>
      <c r="I47" s="21" t="s">
        <v>451</v>
      </c>
    </row>
  </sheetData>
  <mergeCells count="2">
    <mergeCell ref="C4:F4"/>
    <mergeCell ref="E2:G2"/>
  </mergeCells>
  <pageMargins left="0.14000000000000001" right="0.14000000000000001" top="0.55000000000000004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0024-0768-407C-9C1D-28F503DA6B2D}">
  <dimension ref="A1:K67"/>
  <sheetViews>
    <sheetView workbookViewId="0">
      <selection activeCell="K30" sqref="K30"/>
    </sheetView>
  </sheetViews>
  <sheetFormatPr defaultRowHeight="12.75" x14ac:dyDescent="0.2"/>
  <cols>
    <col min="1" max="1" width="3" style="145" bestFit="1" customWidth="1"/>
    <col min="2" max="2" width="0.85546875" style="146" customWidth="1"/>
    <col min="3" max="3" width="10.140625" style="146" customWidth="1"/>
    <col min="4" max="4" width="2.42578125" style="146" customWidth="1"/>
    <col min="5" max="5" width="18.28515625" style="146" bestFit="1" customWidth="1"/>
    <col min="6" max="6" width="0.85546875" style="146" customWidth="1"/>
    <col min="7" max="7" width="56.5703125" style="146" bestFit="1" customWidth="1"/>
    <col min="8" max="8" width="0.85546875" style="146" customWidth="1"/>
    <col min="9" max="9" width="11.85546875" style="146" customWidth="1"/>
    <col min="10" max="16384" width="9.140625" style="146"/>
  </cols>
  <sheetData>
    <row r="1" spans="1:11" ht="13.5" thickBot="1" x14ac:dyDescent="0.25">
      <c r="K1" s="147"/>
    </row>
    <row r="2" spans="1:11" ht="13.5" thickBot="1" x14ac:dyDescent="0.25">
      <c r="D2" s="333" t="s">
        <v>478</v>
      </c>
      <c r="E2" s="334"/>
      <c r="F2" s="334"/>
      <c r="G2" s="335"/>
      <c r="K2" s="147"/>
    </row>
    <row r="3" spans="1:11" x14ac:dyDescent="0.2">
      <c r="K3" s="147"/>
    </row>
    <row r="4" spans="1:11" x14ac:dyDescent="0.2">
      <c r="C4" s="336"/>
      <c r="D4" s="336"/>
      <c r="E4" s="37"/>
      <c r="F4" s="37"/>
      <c r="K4" s="147"/>
    </row>
    <row r="5" spans="1:11" ht="13.5" thickBot="1" x14ac:dyDescent="0.25">
      <c r="K5" s="147"/>
    </row>
    <row r="6" spans="1:11" ht="13.5" thickBot="1" x14ac:dyDescent="0.25">
      <c r="C6" s="149" t="s">
        <v>1</v>
      </c>
      <c r="E6" s="149" t="s">
        <v>529</v>
      </c>
      <c r="G6" s="149" t="s">
        <v>2</v>
      </c>
      <c r="H6" s="37"/>
      <c r="I6" s="149" t="s">
        <v>279</v>
      </c>
      <c r="J6" s="150"/>
      <c r="K6" s="151"/>
    </row>
    <row r="7" spans="1:11" x14ac:dyDescent="0.2">
      <c r="K7" s="147"/>
    </row>
    <row r="8" spans="1:11" x14ac:dyDescent="0.2">
      <c r="K8" s="147"/>
    </row>
    <row r="9" spans="1:11" x14ac:dyDescent="0.2">
      <c r="A9" s="148">
        <v>1</v>
      </c>
      <c r="C9" s="34">
        <v>42421</v>
      </c>
      <c r="E9" s="30" t="s">
        <v>532</v>
      </c>
      <c r="G9" s="30" t="s">
        <v>540</v>
      </c>
      <c r="I9" s="17" t="s">
        <v>480</v>
      </c>
      <c r="J9" s="37"/>
      <c r="K9" s="147"/>
    </row>
    <row r="11" spans="1:11" x14ac:dyDescent="0.2">
      <c r="A11" s="148">
        <v>2</v>
      </c>
      <c r="C11" s="34">
        <v>42424</v>
      </c>
      <c r="E11" s="30" t="s">
        <v>524</v>
      </c>
      <c r="G11" s="30" t="s">
        <v>541</v>
      </c>
      <c r="I11" s="17" t="s">
        <v>482</v>
      </c>
      <c r="J11" s="37"/>
      <c r="K11" s="147"/>
    </row>
    <row r="13" spans="1:11" x14ac:dyDescent="0.2">
      <c r="A13" s="148">
        <v>3</v>
      </c>
      <c r="C13" s="34">
        <v>42462</v>
      </c>
      <c r="E13" s="30" t="s">
        <v>524</v>
      </c>
      <c r="G13" s="30" t="s">
        <v>542</v>
      </c>
      <c r="I13" s="30" t="s">
        <v>400</v>
      </c>
    </row>
    <row r="15" spans="1:11" x14ac:dyDescent="0.2">
      <c r="A15" s="148">
        <v>4</v>
      </c>
      <c r="C15" s="34">
        <v>42463</v>
      </c>
      <c r="E15" s="30" t="s">
        <v>524</v>
      </c>
      <c r="G15" s="30" t="s">
        <v>527</v>
      </c>
      <c r="I15" s="30" t="s">
        <v>485</v>
      </c>
    </row>
    <row r="17" spans="1:9" x14ac:dyDescent="0.2">
      <c r="A17" s="148">
        <v>5</v>
      </c>
      <c r="C17" s="34">
        <v>42473</v>
      </c>
      <c r="E17" s="30" t="s">
        <v>533</v>
      </c>
      <c r="G17" s="30" t="s">
        <v>543</v>
      </c>
      <c r="I17" s="30" t="s">
        <v>211</v>
      </c>
    </row>
    <row r="19" spans="1:9" x14ac:dyDescent="0.2">
      <c r="A19" s="148">
        <v>6</v>
      </c>
      <c r="C19" s="34">
        <v>42476</v>
      </c>
      <c r="E19" s="30" t="s">
        <v>524</v>
      </c>
      <c r="G19" s="30" t="s">
        <v>544</v>
      </c>
      <c r="I19" s="30" t="s">
        <v>64</v>
      </c>
    </row>
    <row r="21" spans="1:9" x14ac:dyDescent="0.2">
      <c r="A21" s="148">
        <v>7</v>
      </c>
      <c r="C21" s="34">
        <v>42491</v>
      </c>
      <c r="E21" s="30" t="s">
        <v>524</v>
      </c>
      <c r="G21" s="30" t="s">
        <v>545</v>
      </c>
      <c r="I21" s="30" t="s">
        <v>383</v>
      </c>
    </row>
    <row r="23" spans="1:9" x14ac:dyDescent="0.2">
      <c r="A23" s="148">
        <v>8</v>
      </c>
      <c r="C23" s="141">
        <v>42498</v>
      </c>
      <c r="E23" s="30" t="s">
        <v>538</v>
      </c>
      <c r="G23" s="30" t="s">
        <v>546</v>
      </c>
      <c r="I23" s="30" t="s">
        <v>437</v>
      </c>
    </row>
    <row r="24" spans="1:9" x14ac:dyDescent="0.2">
      <c r="A24" s="148">
        <v>9</v>
      </c>
      <c r="C24" s="141">
        <v>42498</v>
      </c>
      <c r="E24" s="30" t="s">
        <v>539</v>
      </c>
      <c r="G24" s="30" t="s">
        <v>547</v>
      </c>
      <c r="I24" s="30" t="s">
        <v>491</v>
      </c>
    </row>
    <row r="26" spans="1:9" x14ac:dyDescent="0.2">
      <c r="A26" s="148">
        <v>10</v>
      </c>
      <c r="C26" s="34">
        <v>42501</v>
      </c>
      <c r="E26" s="30" t="s">
        <v>534</v>
      </c>
      <c r="G26" s="30" t="s">
        <v>548</v>
      </c>
      <c r="I26" s="30" t="s">
        <v>493</v>
      </c>
    </row>
    <row r="28" spans="1:9" x14ac:dyDescent="0.2">
      <c r="A28" s="148">
        <v>11</v>
      </c>
      <c r="C28" s="34">
        <v>42503</v>
      </c>
      <c r="E28" s="30" t="s">
        <v>535</v>
      </c>
      <c r="G28" s="30" t="s">
        <v>549</v>
      </c>
      <c r="I28" s="30" t="s">
        <v>495</v>
      </c>
    </row>
    <row r="30" spans="1:9" x14ac:dyDescent="0.2">
      <c r="A30" s="148">
        <v>12</v>
      </c>
      <c r="C30" s="34">
        <v>42504</v>
      </c>
      <c r="E30" s="30" t="s">
        <v>535</v>
      </c>
      <c r="G30" s="30" t="s">
        <v>549</v>
      </c>
      <c r="I30" s="30" t="s">
        <v>37</v>
      </c>
    </row>
    <row r="32" spans="1:9" x14ac:dyDescent="0.2">
      <c r="A32" s="148">
        <v>13</v>
      </c>
      <c r="C32" s="34">
        <v>42505</v>
      </c>
      <c r="E32" s="30" t="s">
        <v>535</v>
      </c>
      <c r="G32" s="30" t="s">
        <v>549</v>
      </c>
      <c r="I32" s="30" t="s">
        <v>496</v>
      </c>
    </row>
    <row r="34" spans="1:9" x14ac:dyDescent="0.2">
      <c r="A34" s="148">
        <v>14</v>
      </c>
      <c r="C34" s="34">
        <v>42523</v>
      </c>
      <c r="E34" s="30" t="s">
        <v>537</v>
      </c>
      <c r="G34" s="30" t="s">
        <v>550</v>
      </c>
      <c r="I34" s="30" t="s">
        <v>500</v>
      </c>
    </row>
    <row r="36" spans="1:9" x14ac:dyDescent="0.2">
      <c r="A36" s="148">
        <v>15</v>
      </c>
      <c r="C36" s="34">
        <v>42524</v>
      </c>
      <c r="E36" s="30" t="s">
        <v>537</v>
      </c>
      <c r="G36" s="30" t="s">
        <v>550</v>
      </c>
      <c r="I36" s="30" t="s">
        <v>500</v>
      </c>
    </row>
    <row r="38" spans="1:9" x14ac:dyDescent="0.2">
      <c r="A38" s="148">
        <v>16</v>
      </c>
      <c r="C38" s="34">
        <v>42526</v>
      </c>
      <c r="E38" s="30" t="s">
        <v>537</v>
      </c>
      <c r="G38" s="30" t="s">
        <v>550</v>
      </c>
      <c r="I38" s="30" t="s">
        <v>501</v>
      </c>
    </row>
    <row r="40" spans="1:9" x14ac:dyDescent="0.2">
      <c r="A40" s="148">
        <v>17</v>
      </c>
      <c r="C40" s="34">
        <v>42536</v>
      </c>
      <c r="E40" s="30" t="s">
        <v>536</v>
      </c>
      <c r="G40" s="30" t="s">
        <v>551</v>
      </c>
      <c r="I40" s="30" t="s">
        <v>498</v>
      </c>
    </row>
    <row r="42" spans="1:9" x14ac:dyDescent="0.2">
      <c r="A42" s="148">
        <v>18</v>
      </c>
      <c r="C42" s="34">
        <v>42540</v>
      </c>
      <c r="E42" s="30" t="s">
        <v>552</v>
      </c>
      <c r="G42" s="30" t="s">
        <v>553</v>
      </c>
      <c r="I42" s="30" t="s">
        <v>503</v>
      </c>
    </row>
    <row r="44" spans="1:9" x14ac:dyDescent="0.2">
      <c r="A44" s="148">
        <v>19</v>
      </c>
      <c r="C44" s="34">
        <v>42541</v>
      </c>
      <c r="E44" s="30" t="s">
        <v>524</v>
      </c>
      <c r="G44" s="30" t="s">
        <v>554</v>
      </c>
      <c r="I44" s="30" t="s">
        <v>15</v>
      </c>
    </row>
    <row r="46" spans="1:9" x14ac:dyDescent="0.2">
      <c r="A46" s="148">
        <v>20</v>
      </c>
      <c r="C46" s="34">
        <v>42544</v>
      </c>
      <c r="E46" s="30" t="s">
        <v>524</v>
      </c>
      <c r="G46" s="30" t="s">
        <v>555</v>
      </c>
      <c r="I46" s="30" t="s">
        <v>137</v>
      </c>
    </row>
    <row r="48" spans="1:9" x14ac:dyDescent="0.2">
      <c r="A48" s="148">
        <v>21</v>
      </c>
      <c r="C48" s="34">
        <v>42553</v>
      </c>
      <c r="E48" s="30" t="s">
        <v>524</v>
      </c>
      <c r="G48" s="30" t="s">
        <v>556</v>
      </c>
      <c r="I48" s="30" t="s">
        <v>449</v>
      </c>
    </row>
    <row r="50" spans="1:9" x14ac:dyDescent="0.2">
      <c r="A50" s="148">
        <v>22</v>
      </c>
      <c r="C50" s="141">
        <v>42554</v>
      </c>
      <c r="E50" s="30" t="s">
        <v>524</v>
      </c>
      <c r="G50" s="30" t="s">
        <v>557</v>
      </c>
      <c r="I50" s="30" t="s">
        <v>64</v>
      </c>
    </row>
    <row r="51" spans="1:9" x14ac:dyDescent="0.2">
      <c r="A51" s="148">
        <v>23</v>
      </c>
      <c r="C51" s="174">
        <v>42554</v>
      </c>
      <c r="E51" s="30" t="s">
        <v>524</v>
      </c>
      <c r="G51" s="30" t="s">
        <v>556</v>
      </c>
      <c r="I51" s="30" t="s">
        <v>508</v>
      </c>
    </row>
    <row r="53" spans="1:9" x14ac:dyDescent="0.2">
      <c r="A53" s="148">
        <v>24</v>
      </c>
      <c r="C53" s="34">
        <v>42555</v>
      </c>
      <c r="E53" s="30" t="s">
        <v>524</v>
      </c>
      <c r="G53" s="30" t="s">
        <v>558</v>
      </c>
      <c r="I53" s="30" t="s">
        <v>510</v>
      </c>
    </row>
    <row r="55" spans="1:9" x14ac:dyDescent="0.2">
      <c r="A55" s="148">
        <v>25</v>
      </c>
      <c r="C55" s="34">
        <v>42574</v>
      </c>
      <c r="E55" s="30" t="s">
        <v>524</v>
      </c>
      <c r="G55" s="30" t="s">
        <v>559</v>
      </c>
      <c r="I55" s="30" t="s">
        <v>512</v>
      </c>
    </row>
    <row r="57" spans="1:9" x14ac:dyDescent="0.2">
      <c r="A57" s="148">
        <v>26</v>
      </c>
      <c r="C57" s="34">
        <v>42583</v>
      </c>
      <c r="E57" s="30" t="s">
        <v>524</v>
      </c>
      <c r="G57" s="307" t="s">
        <v>560</v>
      </c>
      <c r="I57" s="30" t="s">
        <v>514</v>
      </c>
    </row>
    <row r="58" spans="1:9" x14ac:dyDescent="0.2">
      <c r="A58" s="148">
        <v>27</v>
      </c>
      <c r="C58" s="34">
        <v>42584</v>
      </c>
      <c r="E58" s="30" t="s">
        <v>524</v>
      </c>
      <c r="G58" s="308"/>
      <c r="I58" s="30" t="s">
        <v>467</v>
      </c>
    </row>
    <row r="60" spans="1:9" x14ac:dyDescent="0.2">
      <c r="A60" s="148">
        <v>28</v>
      </c>
      <c r="C60" s="34">
        <v>42613</v>
      </c>
      <c r="E60" s="30" t="s">
        <v>530</v>
      </c>
      <c r="G60" s="30" t="s">
        <v>561</v>
      </c>
      <c r="I60" s="30" t="s">
        <v>516</v>
      </c>
    </row>
    <row r="62" spans="1:9" x14ac:dyDescent="0.2">
      <c r="A62" s="148">
        <v>29</v>
      </c>
      <c r="C62" s="34">
        <v>42624</v>
      </c>
      <c r="D62" s="142" t="s">
        <v>519</v>
      </c>
      <c r="E62" s="143" t="s">
        <v>563</v>
      </c>
      <c r="F62" s="142"/>
      <c r="G62" s="30" t="s">
        <v>562</v>
      </c>
      <c r="I62" s="30" t="s">
        <v>451</v>
      </c>
    </row>
    <row r="63" spans="1:9" x14ac:dyDescent="0.2">
      <c r="E63" s="144"/>
    </row>
    <row r="64" spans="1:9" x14ac:dyDescent="0.2">
      <c r="A64" s="148">
        <v>30</v>
      </c>
      <c r="C64" s="34">
        <v>42637</v>
      </c>
      <c r="D64" s="142" t="s">
        <v>519</v>
      </c>
      <c r="E64" s="143" t="s">
        <v>524</v>
      </c>
      <c r="F64" s="142"/>
      <c r="G64" s="30" t="s">
        <v>564</v>
      </c>
      <c r="I64" s="30" t="s">
        <v>469</v>
      </c>
    </row>
    <row r="65" spans="5:5" x14ac:dyDescent="0.2">
      <c r="E65" s="144"/>
    </row>
    <row r="66" spans="5:5" x14ac:dyDescent="0.2">
      <c r="E66" s="144"/>
    </row>
    <row r="67" spans="5:5" x14ac:dyDescent="0.2">
      <c r="E67" s="144"/>
    </row>
  </sheetData>
  <mergeCells count="3">
    <mergeCell ref="D2:G2"/>
    <mergeCell ref="C4:D4"/>
    <mergeCell ref="G57:G58"/>
  </mergeCells>
  <pageMargins left="0.2" right="0.11811023622047245" top="0.33" bottom="0.39370078740157483" header="0.15748031496062992" footer="0.23622047244094491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8B60-8BE7-4E66-947C-F84E4991216E}">
  <dimension ref="A1:K71"/>
  <sheetViews>
    <sheetView workbookViewId="0">
      <selection activeCell="L35" sqref="L35"/>
    </sheetView>
  </sheetViews>
  <sheetFormatPr defaultRowHeight="12.75" x14ac:dyDescent="0.2"/>
  <cols>
    <col min="1" max="1" width="3" style="48" bestFit="1" customWidth="1"/>
    <col min="2" max="2" width="2.7109375" customWidth="1"/>
    <col min="3" max="3" width="10.140625" customWidth="1"/>
    <col min="4" max="4" width="2.7109375" customWidth="1"/>
    <col min="5" max="5" width="19" bestFit="1" customWidth="1"/>
    <col min="6" max="6" width="2.7109375" customWidth="1"/>
    <col min="7" max="7" width="45.5703125" bestFit="1" customWidth="1"/>
    <col min="8" max="8" width="2.7109375" customWidth="1"/>
    <col min="9" max="9" width="11.85546875" style="2" customWidth="1"/>
  </cols>
  <sheetData>
    <row r="1" spans="1:11" ht="13.5" thickBot="1" x14ac:dyDescent="0.25">
      <c r="K1" s="39"/>
    </row>
    <row r="2" spans="1:11" ht="15.75" thickBot="1" x14ac:dyDescent="0.3">
      <c r="D2" s="303" t="s">
        <v>520</v>
      </c>
      <c r="E2" s="316"/>
      <c r="F2" s="316"/>
      <c r="G2" s="304"/>
      <c r="K2" s="39"/>
    </row>
    <row r="3" spans="1:11" x14ac:dyDescent="0.2">
      <c r="K3" s="39"/>
    </row>
    <row r="4" spans="1:11" x14ac:dyDescent="0.2">
      <c r="C4" s="329"/>
      <c r="D4" s="329"/>
      <c r="E4" s="2"/>
      <c r="F4" s="2"/>
      <c r="K4" s="39"/>
    </row>
    <row r="5" spans="1:11" ht="13.5" thickBot="1" x14ac:dyDescent="0.25">
      <c r="K5" s="39"/>
    </row>
    <row r="6" spans="1:11" ht="15.75" thickBot="1" x14ac:dyDescent="0.3">
      <c r="C6" s="8" t="s">
        <v>1</v>
      </c>
      <c r="E6" s="8" t="s">
        <v>529</v>
      </c>
      <c r="G6" s="8" t="s">
        <v>2</v>
      </c>
      <c r="H6" s="2"/>
      <c r="I6" s="8" t="s">
        <v>279</v>
      </c>
      <c r="J6" s="38"/>
      <c r="K6" s="40"/>
    </row>
    <row r="7" spans="1:11" x14ac:dyDescent="0.2">
      <c r="K7" s="39"/>
    </row>
    <row r="8" spans="1:11" x14ac:dyDescent="0.2">
      <c r="K8" s="39"/>
    </row>
    <row r="9" spans="1:11" x14ac:dyDescent="0.2">
      <c r="A9" s="47">
        <v>1</v>
      </c>
      <c r="C9" s="3">
        <v>42820</v>
      </c>
      <c r="E9" s="21" t="s">
        <v>524</v>
      </c>
      <c r="G9" s="30" t="s">
        <v>525</v>
      </c>
      <c r="I9" s="17" t="s">
        <v>373</v>
      </c>
      <c r="J9" s="2"/>
      <c r="K9" s="39"/>
    </row>
    <row r="11" spans="1:11" x14ac:dyDescent="0.2">
      <c r="A11" s="47">
        <v>2</v>
      </c>
      <c r="C11" s="3">
        <v>42825</v>
      </c>
      <c r="E11" s="21" t="s">
        <v>530</v>
      </c>
      <c r="G11" s="21" t="s">
        <v>526</v>
      </c>
      <c r="I11" s="5" t="s">
        <v>475</v>
      </c>
      <c r="J11" s="2"/>
      <c r="K11" s="39"/>
    </row>
    <row r="13" spans="1:11" x14ac:dyDescent="0.2">
      <c r="A13" s="47">
        <v>3</v>
      </c>
      <c r="C13" s="22">
        <v>42826</v>
      </c>
      <c r="E13" s="21" t="s">
        <v>530</v>
      </c>
      <c r="G13" s="21" t="s">
        <v>526</v>
      </c>
      <c r="I13" s="20" t="s">
        <v>522</v>
      </c>
    </row>
    <row r="15" spans="1:11" x14ac:dyDescent="0.2">
      <c r="A15" s="47">
        <v>4</v>
      </c>
      <c r="C15" s="22">
        <v>42827</v>
      </c>
      <c r="E15" s="21" t="s">
        <v>524</v>
      </c>
      <c r="G15" s="21" t="s">
        <v>600</v>
      </c>
      <c r="I15" s="20" t="s">
        <v>437</v>
      </c>
    </row>
    <row r="17" spans="1:9" x14ac:dyDescent="0.2">
      <c r="A17" s="47">
        <v>5</v>
      </c>
      <c r="C17" s="22">
        <v>42832</v>
      </c>
      <c r="E17" s="21" t="s">
        <v>531</v>
      </c>
      <c r="G17" s="21" t="s">
        <v>528</v>
      </c>
      <c r="I17" s="20" t="s">
        <v>523</v>
      </c>
    </row>
    <row r="19" spans="1:9" x14ac:dyDescent="0.2">
      <c r="A19" s="47">
        <v>6</v>
      </c>
      <c r="C19" s="22">
        <v>42856</v>
      </c>
      <c r="E19" s="21" t="s">
        <v>524</v>
      </c>
      <c r="G19" s="21" t="s">
        <v>670</v>
      </c>
      <c r="I19" s="20" t="s">
        <v>218</v>
      </c>
    </row>
    <row r="21" spans="1:9" x14ac:dyDescent="0.2">
      <c r="A21" s="47">
        <v>7</v>
      </c>
      <c r="C21" s="22">
        <v>42863</v>
      </c>
      <c r="E21" s="21" t="s">
        <v>539</v>
      </c>
      <c r="G21" s="21" t="s">
        <v>671</v>
      </c>
      <c r="I21" s="20" t="s">
        <v>672</v>
      </c>
    </row>
    <row r="23" spans="1:9" x14ac:dyDescent="0.2">
      <c r="A23" s="47">
        <v>8</v>
      </c>
      <c r="C23" s="22">
        <v>42867</v>
      </c>
      <c r="E23" s="21" t="s">
        <v>524</v>
      </c>
      <c r="G23" s="21" t="s">
        <v>677</v>
      </c>
      <c r="I23" s="20" t="s">
        <v>678</v>
      </c>
    </row>
    <row r="25" spans="1:9" x14ac:dyDescent="0.2">
      <c r="A25" s="47">
        <v>9</v>
      </c>
      <c r="C25" s="22">
        <v>42869</v>
      </c>
      <c r="E25" s="21" t="s">
        <v>524</v>
      </c>
      <c r="G25" s="21" t="s">
        <v>673</v>
      </c>
      <c r="I25" s="20" t="s">
        <v>312</v>
      </c>
    </row>
    <row r="27" spans="1:9" x14ac:dyDescent="0.2">
      <c r="A27" s="47">
        <v>10</v>
      </c>
      <c r="C27" s="22">
        <v>42873</v>
      </c>
      <c r="E27" s="21" t="s">
        <v>524</v>
      </c>
      <c r="G27" s="21" t="s">
        <v>684</v>
      </c>
      <c r="I27" s="20" t="s">
        <v>674</v>
      </c>
    </row>
    <row r="29" spans="1:9" x14ac:dyDescent="0.2">
      <c r="A29" s="47">
        <v>11</v>
      </c>
      <c r="C29" s="22">
        <v>42875</v>
      </c>
      <c r="E29" s="21" t="s">
        <v>625</v>
      </c>
      <c r="G29" s="21" t="s">
        <v>675</v>
      </c>
      <c r="I29" s="20" t="s">
        <v>676</v>
      </c>
    </row>
    <row r="31" spans="1:9" x14ac:dyDescent="0.2">
      <c r="A31" s="47">
        <v>12</v>
      </c>
      <c r="C31" s="22">
        <v>42876</v>
      </c>
      <c r="E31" s="21" t="s">
        <v>625</v>
      </c>
      <c r="G31" s="21" t="s">
        <v>675</v>
      </c>
      <c r="I31" s="20" t="s">
        <v>303</v>
      </c>
    </row>
    <row r="33" spans="1:9" x14ac:dyDescent="0.2">
      <c r="A33" s="47">
        <v>13</v>
      </c>
      <c r="C33" s="22">
        <v>42879</v>
      </c>
      <c r="E33" s="21" t="s">
        <v>524</v>
      </c>
      <c r="G33" s="21" t="s">
        <v>679</v>
      </c>
      <c r="I33" s="20" t="s">
        <v>680</v>
      </c>
    </row>
    <row r="35" spans="1:9" x14ac:dyDescent="0.2">
      <c r="A35" s="47">
        <v>14</v>
      </c>
      <c r="C35" s="22">
        <v>42880</v>
      </c>
      <c r="E35" s="21" t="s">
        <v>524</v>
      </c>
      <c r="G35" s="21" t="s">
        <v>681</v>
      </c>
      <c r="I35" s="20" t="s">
        <v>682</v>
      </c>
    </row>
    <row r="37" spans="1:9" x14ac:dyDescent="0.2">
      <c r="A37" s="47">
        <v>15</v>
      </c>
      <c r="C37" s="22">
        <v>42883</v>
      </c>
      <c r="E37" s="21" t="s">
        <v>524</v>
      </c>
      <c r="G37" s="21" t="s">
        <v>683</v>
      </c>
      <c r="I37" s="20" t="s">
        <v>324</v>
      </c>
    </row>
    <row r="39" spans="1:9" x14ac:dyDescent="0.2">
      <c r="A39" s="47">
        <v>16</v>
      </c>
      <c r="C39" s="22">
        <v>42893</v>
      </c>
      <c r="E39" s="21" t="s">
        <v>524</v>
      </c>
      <c r="G39" s="21" t="s">
        <v>685</v>
      </c>
      <c r="I39" s="20" t="s">
        <v>686</v>
      </c>
    </row>
    <row r="41" spans="1:9" x14ac:dyDescent="0.2">
      <c r="A41" s="47">
        <v>17</v>
      </c>
      <c r="C41" s="22">
        <v>42894</v>
      </c>
      <c r="E41" s="21" t="s">
        <v>524</v>
      </c>
      <c r="G41" s="21" t="s">
        <v>685</v>
      </c>
      <c r="I41" s="20" t="s">
        <v>686</v>
      </c>
    </row>
    <row r="43" spans="1:9" x14ac:dyDescent="0.2">
      <c r="A43" s="47">
        <v>18</v>
      </c>
      <c r="C43" s="22">
        <v>42895</v>
      </c>
      <c r="E43" s="21" t="s">
        <v>524</v>
      </c>
      <c r="G43" s="21" t="s">
        <v>685</v>
      </c>
      <c r="I43" s="20" t="s">
        <v>686</v>
      </c>
    </row>
    <row r="45" spans="1:9" x14ac:dyDescent="0.2">
      <c r="A45" s="47">
        <v>19</v>
      </c>
      <c r="C45" s="22">
        <v>42896</v>
      </c>
      <c r="E45" s="21" t="s">
        <v>524</v>
      </c>
      <c r="G45" s="21" t="s">
        <v>687</v>
      </c>
      <c r="I45" s="20" t="s">
        <v>51</v>
      </c>
    </row>
    <row r="47" spans="1:9" x14ac:dyDescent="0.2">
      <c r="A47" s="47">
        <v>20</v>
      </c>
      <c r="C47" s="22">
        <v>42906</v>
      </c>
      <c r="E47" s="21" t="s">
        <v>524</v>
      </c>
      <c r="G47" s="30" t="s">
        <v>688</v>
      </c>
      <c r="I47" s="35" t="s">
        <v>689</v>
      </c>
    </row>
    <row r="49" spans="1:9" x14ac:dyDescent="0.2">
      <c r="A49" s="47">
        <v>21</v>
      </c>
      <c r="C49" s="22">
        <v>42909</v>
      </c>
      <c r="E49" s="21" t="s">
        <v>524</v>
      </c>
      <c r="G49" s="30" t="s">
        <v>690</v>
      </c>
      <c r="I49" s="35" t="s">
        <v>691</v>
      </c>
    </row>
    <row r="51" spans="1:9" x14ac:dyDescent="0.2">
      <c r="A51" s="47">
        <v>22</v>
      </c>
      <c r="C51" s="22">
        <v>43008</v>
      </c>
      <c r="E51" s="21" t="s">
        <v>524</v>
      </c>
      <c r="G51" s="30" t="s">
        <v>692</v>
      </c>
      <c r="I51" s="35" t="s">
        <v>693</v>
      </c>
    </row>
    <row r="53" spans="1:9" x14ac:dyDescent="0.2">
      <c r="A53" s="47">
        <v>23</v>
      </c>
      <c r="C53" s="22">
        <v>43023</v>
      </c>
      <c r="E53" s="21" t="s">
        <v>524</v>
      </c>
      <c r="G53" s="30" t="s">
        <v>694</v>
      </c>
      <c r="I53" s="35" t="s">
        <v>695</v>
      </c>
    </row>
    <row r="55" spans="1:9" x14ac:dyDescent="0.2">
      <c r="A55" s="47">
        <v>24</v>
      </c>
      <c r="C55" s="22">
        <v>43030</v>
      </c>
      <c r="D55" s="51"/>
      <c r="E55" s="21" t="s">
        <v>524</v>
      </c>
      <c r="F55" s="51"/>
      <c r="G55" s="30" t="s">
        <v>696</v>
      </c>
      <c r="I55" s="35" t="s">
        <v>697</v>
      </c>
    </row>
    <row r="57" spans="1:9" x14ac:dyDescent="0.2">
      <c r="A57" s="47">
        <v>25</v>
      </c>
      <c r="C57" s="22">
        <v>43035</v>
      </c>
      <c r="D57" s="51"/>
      <c r="E57" s="21" t="s">
        <v>524</v>
      </c>
      <c r="F57" s="51"/>
      <c r="G57" s="30" t="s">
        <v>698</v>
      </c>
      <c r="I57" s="35" t="s">
        <v>440</v>
      </c>
    </row>
    <row r="59" spans="1:9" x14ac:dyDescent="0.2">
      <c r="A59" s="47">
        <v>26</v>
      </c>
      <c r="C59" s="22">
        <v>43036</v>
      </c>
      <c r="D59" s="51"/>
      <c r="E59" s="21" t="s">
        <v>524</v>
      </c>
      <c r="F59" s="51"/>
      <c r="G59" s="30" t="s">
        <v>699</v>
      </c>
      <c r="I59" s="35" t="s">
        <v>109</v>
      </c>
    </row>
    <row r="61" spans="1:9" x14ac:dyDescent="0.2">
      <c r="A61" s="47">
        <v>27</v>
      </c>
      <c r="C61" s="22">
        <v>43036</v>
      </c>
      <c r="D61" s="51"/>
      <c r="E61" s="21" t="s">
        <v>700</v>
      </c>
      <c r="F61" s="51"/>
      <c r="G61" s="30" t="s">
        <v>701</v>
      </c>
      <c r="I61" s="35" t="s">
        <v>702</v>
      </c>
    </row>
    <row r="63" spans="1:9" x14ac:dyDescent="0.2">
      <c r="A63" s="47">
        <v>28</v>
      </c>
      <c r="C63" s="22">
        <v>43037</v>
      </c>
      <c r="D63" s="51"/>
      <c r="E63" s="21" t="s">
        <v>524</v>
      </c>
      <c r="F63" s="51"/>
      <c r="G63" s="30" t="s">
        <v>703</v>
      </c>
      <c r="I63" s="35" t="s">
        <v>704</v>
      </c>
    </row>
    <row r="65" spans="1:9" x14ac:dyDescent="0.2">
      <c r="A65" s="47">
        <v>29</v>
      </c>
      <c r="C65" s="22">
        <v>43038</v>
      </c>
      <c r="D65" s="51"/>
      <c r="E65" s="21" t="s">
        <v>524</v>
      </c>
      <c r="F65" s="51"/>
      <c r="G65" s="30" t="s">
        <v>705</v>
      </c>
      <c r="I65" s="35" t="s">
        <v>706</v>
      </c>
    </row>
    <row r="67" spans="1:9" x14ac:dyDescent="0.2">
      <c r="A67" s="47">
        <v>30</v>
      </c>
      <c r="C67" s="22">
        <v>43039</v>
      </c>
      <c r="D67" s="51"/>
      <c r="E67" s="21" t="s">
        <v>524</v>
      </c>
      <c r="F67" s="51"/>
      <c r="G67" s="30" t="s">
        <v>705</v>
      </c>
      <c r="I67" s="35" t="s">
        <v>707</v>
      </c>
    </row>
    <row r="69" spans="1:9" x14ac:dyDescent="0.2">
      <c r="A69" s="47">
        <v>31</v>
      </c>
      <c r="C69" s="22">
        <v>43039</v>
      </c>
      <c r="D69" s="51"/>
      <c r="E69" s="21" t="s">
        <v>708</v>
      </c>
      <c r="F69" s="51"/>
      <c r="G69" s="30" t="s">
        <v>710</v>
      </c>
      <c r="I69" s="35" t="s">
        <v>709</v>
      </c>
    </row>
    <row r="71" spans="1:9" x14ac:dyDescent="0.2">
      <c r="A71" s="47">
        <v>32</v>
      </c>
      <c r="C71" s="22">
        <v>43406</v>
      </c>
      <c r="D71" s="51"/>
      <c r="E71" s="21" t="s">
        <v>524</v>
      </c>
      <c r="F71" s="51"/>
      <c r="G71" s="30" t="s">
        <v>711</v>
      </c>
      <c r="I71" s="35" t="s">
        <v>451</v>
      </c>
    </row>
  </sheetData>
  <mergeCells count="2">
    <mergeCell ref="D2:G2"/>
    <mergeCell ref="C4:D4"/>
  </mergeCells>
  <pageMargins left="0.21" right="0.1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26FC-495E-434A-A7D3-86FF86587527}">
  <dimension ref="A1:K48"/>
  <sheetViews>
    <sheetView topLeftCell="A6" workbookViewId="0">
      <selection activeCell="M42" sqref="M42"/>
    </sheetView>
  </sheetViews>
  <sheetFormatPr defaultRowHeight="12.75" x14ac:dyDescent="0.2"/>
  <cols>
    <col min="1" max="1" width="3" style="48" bestFit="1" customWidth="1"/>
    <col min="2" max="2" width="1.5703125" customWidth="1"/>
    <col min="3" max="3" width="10.140625" customWidth="1"/>
    <col min="4" max="4" width="1.5703125" customWidth="1"/>
    <col min="5" max="5" width="19" bestFit="1" customWidth="1"/>
    <col min="6" max="6" width="1.5703125" customWidth="1"/>
    <col min="7" max="7" width="45.5703125" bestFit="1" customWidth="1"/>
    <col min="8" max="8" width="1.5703125" customWidth="1"/>
    <col min="9" max="9" width="11.85546875" style="2" customWidth="1"/>
  </cols>
  <sheetData>
    <row r="1" spans="1:11" ht="13.5" thickBot="1" x14ac:dyDescent="0.25">
      <c r="K1" s="39"/>
    </row>
    <row r="2" spans="1:11" ht="15.75" thickBot="1" x14ac:dyDescent="0.3">
      <c r="D2" s="339" t="s">
        <v>712</v>
      </c>
      <c r="E2" s="340"/>
      <c r="F2" s="340"/>
      <c r="G2" s="341"/>
      <c r="K2" s="39"/>
    </row>
    <row r="3" spans="1:11" x14ac:dyDescent="0.2">
      <c r="K3" s="39"/>
    </row>
    <row r="4" spans="1:11" x14ac:dyDescent="0.2">
      <c r="C4" s="329"/>
      <c r="D4" s="329"/>
      <c r="E4" s="2"/>
      <c r="F4" s="2"/>
      <c r="K4" s="39"/>
    </row>
    <row r="5" spans="1:11" ht="13.5" thickBot="1" x14ac:dyDescent="0.25">
      <c r="K5" s="39"/>
    </row>
    <row r="6" spans="1:11" ht="15.75" thickBot="1" x14ac:dyDescent="0.3">
      <c r="C6" s="175" t="s">
        <v>1</v>
      </c>
      <c r="E6" s="175" t="s">
        <v>529</v>
      </c>
      <c r="G6" s="175" t="s">
        <v>2</v>
      </c>
      <c r="H6" s="2"/>
      <c r="I6" s="175" t="s">
        <v>279</v>
      </c>
      <c r="J6" s="38"/>
      <c r="K6" s="40"/>
    </row>
    <row r="7" spans="1:11" x14ac:dyDescent="0.2">
      <c r="K7" s="39"/>
    </row>
    <row r="8" spans="1:11" x14ac:dyDescent="0.2">
      <c r="K8" s="39"/>
    </row>
    <row r="9" spans="1:11" x14ac:dyDescent="0.2">
      <c r="A9" s="176">
        <v>1</v>
      </c>
      <c r="C9" s="177">
        <v>43173</v>
      </c>
      <c r="E9" s="178" t="s">
        <v>715</v>
      </c>
      <c r="G9" s="179" t="s">
        <v>713</v>
      </c>
      <c r="I9" s="180" t="s">
        <v>714</v>
      </c>
      <c r="J9" s="2"/>
      <c r="K9" s="39"/>
    </row>
    <row r="11" spans="1:11" x14ac:dyDescent="0.2">
      <c r="A11" s="176">
        <v>2</v>
      </c>
      <c r="C11" s="177">
        <v>43183</v>
      </c>
      <c r="E11" s="178" t="s">
        <v>524</v>
      </c>
      <c r="G11" s="178" t="s">
        <v>716</v>
      </c>
      <c r="I11" s="181" t="s">
        <v>717</v>
      </c>
      <c r="J11" s="2"/>
      <c r="K11" s="39"/>
    </row>
    <row r="13" spans="1:11" x14ac:dyDescent="0.2">
      <c r="A13" s="176">
        <v>3</v>
      </c>
      <c r="C13" s="177">
        <v>43194</v>
      </c>
      <c r="E13" s="178" t="s">
        <v>718</v>
      </c>
      <c r="G13" s="178" t="s">
        <v>720</v>
      </c>
      <c r="I13" s="181" t="s">
        <v>719</v>
      </c>
    </row>
    <row r="15" spans="1:11" x14ac:dyDescent="0.2">
      <c r="A15" s="176">
        <v>4</v>
      </c>
      <c r="C15" s="177">
        <v>43245</v>
      </c>
      <c r="E15" s="178" t="s">
        <v>524</v>
      </c>
      <c r="G15" s="178" t="s">
        <v>721</v>
      </c>
      <c r="I15" s="181" t="s">
        <v>722</v>
      </c>
    </row>
    <row r="17" spans="1:9" x14ac:dyDescent="0.2">
      <c r="A17" s="176">
        <v>5</v>
      </c>
      <c r="C17" s="177">
        <v>43247</v>
      </c>
      <c r="E17" s="178" t="s">
        <v>524</v>
      </c>
      <c r="G17" s="178" t="s">
        <v>723</v>
      </c>
      <c r="I17" s="181" t="s">
        <v>169</v>
      </c>
    </row>
    <row r="19" spans="1:9" x14ac:dyDescent="0.2">
      <c r="A19" s="176">
        <v>6</v>
      </c>
      <c r="C19" s="177">
        <v>43271</v>
      </c>
      <c r="E19" s="178" t="s">
        <v>524</v>
      </c>
      <c r="G19" s="178" t="s">
        <v>724</v>
      </c>
      <c r="I19" s="181" t="s">
        <v>722</v>
      </c>
    </row>
    <row r="21" spans="1:9" x14ac:dyDescent="0.2">
      <c r="A21" s="176">
        <v>7</v>
      </c>
      <c r="C21" s="177">
        <v>43274</v>
      </c>
      <c r="E21" s="178" t="s">
        <v>524</v>
      </c>
      <c r="G21" s="178" t="s">
        <v>690</v>
      </c>
      <c r="I21" s="181" t="s">
        <v>725</v>
      </c>
    </row>
    <row r="23" spans="1:9" x14ac:dyDescent="0.2">
      <c r="A23" s="176">
        <v>8</v>
      </c>
      <c r="C23" s="177">
        <v>43275</v>
      </c>
      <c r="E23" s="178" t="s">
        <v>524</v>
      </c>
      <c r="G23" s="178" t="s">
        <v>726</v>
      </c>
      <c r="I23" s="181" t="s">
        <v>200</v>
      </c>
    </row>
    <row r="25" spans="1:9" x14ac:dyDescent="0.2">
      <c r="A25" s="176">
        <v>9</v>
      </c>
      <c r="C25" s="177">
        <v>43302</v>
      </c>
      <c r="E25" s="178" t="s">
        <v>727</v>
      </c>
      <c r="G25" s="178" t="s">
        <v>728</v>
      </c>
      <c r="I25" s="181" t="s">
        <v>367</v>
      </c>
    </row>
    <row r="27" spans="1:9" x14ac:dyDescent="0.2">
      <c r="A27" s="337">
        <v>10</v>
      </c>
      <c r="C27" s="338">
        <v>43320</v>
      </c>
      <c r="E27" s="342" t="s">
        <v>731</v>
      </c>
      <c r="G27" s="344" t="s">
        <v>729</v>
      </c>
      <c r="I27" s="337" t="s">
        <v>730</v>
      </c>
    </row>
    <row r="28" spans="1:9" x14ac:dyDescent="0.2">
      <c r="A28" s="337"/>
      <c r="C28" s="338"/>
      <c r="E28" s="343"/>
      <c r="G28" s="344"/>
      <c r="I28" s="337"/>
    </row>
    <row r="30" spans="1:9" x14ac:dyDescent="0.2">
      <c r="A30" s="176">
        <v>11</v>
      </c>
      <c r="C30" s="177">
        <v>43321</v>
      </c>
      <c r="E30" s="178" t="s">
        <v>565</v>
      </c>
      <c r="G30" s="178" t="s">
        <v>729</v>
      </c>
      <c r="I30" s="181" t="s">
        <v>732</v>
      </c>
    </row>
    <row r="32" spans="1:9" x14ac:dyDescent="0.2">
      <c r="A32" s="176">
        <v>12</v>
      </c>
      <c r="C32" s="177">
        <v>43322</v>
      </c>
      <c r="E32" s="178" t="s">
        <v>524</v>
      </c>
      <c r="G32" s="178" t="s">
        <v>733</v>
      </c>
      <c r="I32" s="181" t="s">
        <v>734</v>
      </c>
    </row>
    <row r="34" spans="1:9" x14ac:dyDescent="0.2">
      <c r="A34" s="176">
        <v>13</v>
      </c>
      <c r="C34" s="177">
        <v>43352</v>
      </c>
      <c r="E34" s="178" t="s">
        <v>735</v>
      </c>
      <c r="G34" s="178" t="s">
        <v>736</v>
      </c>
      <c r="I34" s="181" t="s">
        <v>303</v>
      </c>
    </row>
    <row r="36" spans="1:9" x14ac:dyDescent="0.2">
      <c r="A36" s="176">
        <v>14</v>
      </c>
      <c r="C36" s="177">
        <v>43366</v>
      </c>
      <c r="E36" s="178" t="s">
        <v>737</v>
      </c>
      <c r="G36" s="178" t="s">
        <v>738</v>
      </c>
      <c r="I36" s="181" t="s">
        <v>739</v>
      </c>
    </row>
    <row r="38" spans="1:9" x14ac:dyDescent="0.2">
      <c r="A38" s="176">
        <v>15</v>
      </c>
      <c r="C38" s="177">
        <v>43372</v>
      </c>
      <c r="E38" s="178" t="s">
        <v>524</v>
      </c>
      <c r="G38" s="178" t="s">
        <v>740</v>
      </c>
      <c r="I38" s="181" t="s">
        <v>741</v>
      </c>
    </row>
    <row r="40" spans="1:9" x14ac:dyDescent="0.2">
      <c r="A40" s="176">
        <v>16</v>
      </c>
      <c r="C40" s="177">
        <v>43373</v>
      </c>
      <c r="E40" s="178" t="s">
        <v>524</v>
      </c>
      <c r="G40" s="178" t="s">
        <v>740</v>
      </c>
      <c r="I40" s="181" t="s">
        <v>741</v>
      </c>
    </row>
    <row r="42" spans="1:9" x14ac:dyDescent="0.2">
      <c r="A42" s="176">
        <v>17</v>
      </c>
      <c r="C42" s="177">
        <v>43379</v>
      </c>
      <c r="E42" s="178" t="s">
        <v>524</v>
      </c>
      <c r="G42" s="178" t="s">
        <v>742</v>
      </c>
      <c r="I42" s="181" t="s">
        <v>34</v>
      </c>
    </row>
    <row r="44" spans="1:9" x14ac:dyDescent="0.2">
      <c r="A44" s="176">
        <v>18</v>
      </c>
      <c r="C44" s="177">
        <v>43438</v>
      </c>
      <c r="E44" s="178" t="s">
        <v>743</v>
      </c>
      <c r="G44" s="178" t="s">
        <v>745</v>
      </c>
      <c r="I44" s="181" t="s">
        <v>746</v>
      </c>
    </row>
    <row r="46" spans="1:9" x14ac:dyDescent="0.2">
      <c r="A46" s="176">
        <v>19</v>
      </c>
      <c r="C46" s="177">
        <v>43439</v>
      </c>
      <c r="E46" s="178" t="s">
        <v>743</v>
      </c>
      <c r="G46" s="178" t="s">
        <v>745</v>
      </c>
      <c r="I46" s="181" t="s">
        <v>744</v>
      </c>
    </row>
    <row r="48" spans="1:9" x14ac:dyDescent="0.2">
      <c r="A48" s="176">
        <v>20</v>
      </c>
      <c r="C48" s="177">
        <v>43440</v>
      </c>
      <c r="E48" s="178" t="s">
        <v>743</v>
      </c>
      <c r="G48" s="178" t="s">
        <v>745</v>
      </c>
      <c r="I48" s="181" t="s">
        <v>744</v>
      </c>
    </row>
  </sheetData>
  <mergeCells count="7">
    <mergeCell ref="I27:I28"/>
    <mergeCell ref="C27:C28"/>
    <mergeCell ref="A27:A28"/>
    <mergeCell ref="D2:G2"/>
    <mergeCell ref="C4:D4"/>
    <mergeCell ref="E27:E28"/>
    <mergeCell ref="G27:G28"/>
  </mergeCells>
  <pageMargins left="0.35433070866141736" right="0.31496062992125984" top="0.74803149606299213" bottom="0.74803149606299213" header="0.31496062992125984" footer="0.31496062992125984"/>
  <pageSetup paperSize="9" orientation="portrait" horizontalDpi="4294967293" verticalDpi="0" r:id="rId1"/>
  <headerFooter>
    <oddHeader>&amp;CSERVIZI 2018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FBBF-9C77-4BC8-8204-0F7FB7623B0B}">
  <dimension ref="A1:K33"/>
  <sheetViews>
    <sheetView workbookViewId="0">
      <selection activeCell="M36" sqref="M36"/>
    </sheetView>
  </sheetViews>
  <sheetFormatPr defaultRowHeight="12.75" x14ac:dyDescent="0.2"/>
  <cols>
    <col min="1" max="1" width="3" style="48" bestFit="1" customWidth="1"/>
    <col min="2" max="2" width="0.85546875" customWidth="1"/>
    <col min="3" max="3" width="10.140625" customWidth="1"/>
    <col min="4" max="4" width="1" customWidth="1"/>
    <col min="5" max="5" width="19" bestFit="1" customWidth="1"/>
    <col min="6" max="6" width="1" customWidth="1"/>
    <col min="7" max="7" width="46.5703125" customWidth="1"/>
    <col min="8" max="8" width="0.85546875" customWidth="1"/>
    <col min="9" max="9" width="11.85546875" style="2" customWidth="1"/>
  </cols>
  <sheetData>
    <row r="1" spans="1:11" ht="13.5" thickBot="1" x14ac:dyDescent="0.25">
      <c r="K1" s="39"/>
    </row>
    <row r="2" spans="1:11" ht="15.75" thickBot="1" x14ac:dyDescent="0.3">
      <c r="D2" s="339" t="s">
        <v>747</v>
      </c>
      <c r="E2" s="340"/>
      <c r="F2" s="340"/>
      <c r="G2" s="341"/>
      <c r="K2" s="39"/>
    </row>
    <row r="3" spans="1:11" x14ac:dyDescent="0.2">
      <c r="K3" s="39"/>
    </row>
    <row r="4" spans="1:11" x14ac:dyDescent="0.2">
      <c r="C4" s="329"/>
      <c r="D4" s="329"/>
      <c r="E4" s="2"/>
      <c r="F4" s="2"/>
      <c r="K4" s="39"/>
    </row>
    <row r="5" spans="1:11" ht="13.5" thickBot="1" x14ac:dyDescent="0.25">
      <c r="K5" s="39"/>
    </row>
    <row r="6" spans="1:11" ht="15.75" thickBot="1" x14ac:dyDescent="0.3">
      <c r="C6" s="175" t="s">
        <v>1</v>
      </c>
      <c r="E6" s="175" t="s">
        <v>529</v>
      </c>
      <c r="G6" s="175" t="s">
        <v>2</v>
      </c>
      <c r="H6" s="2"/>
      <c r="I6" s="175" t="s">
        <v>279</v>
      </c>
      <c r="J6" s="38"/>
      <c r="K6" s="40"/>
    </row>
    <row r="7" spans="1:11" x14ac:dyDescent="0.2">
      <c r="K7" s="39"/>
    </row>
    <row r="8" spans="1:11" x14ac:dyDescent="0.2">
      <c r="K8" s="39"/>
    </row>
    <row r="9" spans="1:11" x14ac:dyDescent="0.2">
      <c r="A9" s="176">
        <v>1</v>
      </c>
      <c r="C9" s="177">
        <v>43471</v>
      </c>
      <c r="E9" s="178" t="s">
        <v>524</v>
      </c>
      <c r="G9" s="179" t="s">
        <v>748</v>
      </c>
      <c r="I9" s="180" t="s">
        <v>432</v>
      </c>
      <c r="J9" s="2"/>
      <c r="K9" s="39"/>
    </row>
    <row r="11" spans="1:11" x14ac:dyDescent="0.2">
      <c r="A11" s="176">
        <v>2</v>
      </c>
      <c r="C11" s="177">
        <v>43618</v>
      </c>
      <c r="E11" s="178" t="s">
        <v>524</v>
      </c>
      <c r="G11" s="182" t="s">
        <v>750</v>
      </c>
      <c r="I11" s="181" t="s">
        <v>749</v>
      </c>
      <c r="J11" s="2"/>
      <c r="K11" s="39"/>
    </row>
    <row r="13" spans="1:11" x14ac:dyDescent="0.2">
      <c r="A13" s="176">
        <v>3</v>
      </c>
      <c r="C13" s="177">
        <v>43622</v>
      </c>
      <c r="E13" s="178" t="s">
        <v>524</v>
      </c>
      <c r="G13" s="178" t="s">
        <v>751</v>
      </c>
      <c r="I13" s="181" t="s">
        <v>752</v>
      </c>
    </row>
    <row r="15" spans="1:11" x14ac:dyDescent="0.2">
      <c r="A15" s="176">
        <v>4</v>
      </c>
      <c r="C15" s="177">
        <v>43623</v>
      </c>
      <c r="E15" s="178" t="s">
        <v>524</v>
      </c>
      <c r="G15" s="178" t="s">
        <v>751</v>
      </c>
      <c r="I15" s="181" t="s">
        <v>141</v>
      </c>
    </row>
    <row r="17" spans="1:9" x14ac:dyDescent="0.2">
      <c r="A17" s="176">
        <v>5</v>
      </c>
      <c r="C17" s="177">
        <v>43624</v>
      </c>
      <c r="E17" s="178" t="s">
        <v>753</v>
      </c>
      <c r="G17" s="178" t="s">
        <v>754</v>
      </c>
      <c r="I17" s="181" t="s">
        <v>37</v>
      </c>
    </row>
    <row r="19" spans="1:9" x14ac:dyDescent="0.2">
      <c r="A19" s="176">
        <v>6</v>
      </c>
      <c r="C19" s="177">
        <v>43626</v>
      </c>
      <c r="E19" s="178" t="s">
        <v>755</v>
      </c>
      <c r="G19" s="178" t="s">
        <v>756</v>
      </c>
      <c r="I19" s="181" t="s">
        <v>704</v>
      </c>
    </row>
    <row r="21" spans="1:9" x14ac:dyDescent="0.2">
      <c r="A21" s="176">
        <v>7</v>
      </c>
      <c r="C21" s="177">
        <v>43631</v>
      </c>
      <c r="E21" s="178" t="s">
        <v>757</v>
      </c>
      <c r="G21" s="178" t="s">
        <v>758</v>
      </c>
      <c r="I21" s="181" t="s">
        <v>335</v>
      </c>
    </row>
    <row r="23" spans="1:9" x14ac:dyDescent="0.2">
      <c r="A23" s="176">
        <v>8</v>
      </c>
      <c r="C23" s="177">
        <v>43632</v>
      </c>
      <c r="E23" s="178" t="s">
        <v>755</v>
      </c>
      <c r="G23" s="178" t="s">
        <v>759</v>
      </c>
      <c r="I23" s="181" t="s">
        <v>760</v>
      </c>
    </row>
    <row r="25" spans="1:9" x14ac:dyDescent="0.2">
      <c r="A25" s="176">
        <v>9</v>
      </c>
      <c r="C25" s="177">
        <v>43636</v>
      </c>
      <c r="E25" s="178" t="s">
        <v>524</v>
      </c>
      <c r="G25" s="178" t="s">
        <v>761</v>
      </c>
      <c r="I25" s="181" t="s">
        <v>34</v>
      </c>
    </row>
    <row r="27" spans="1:9" x14ac:dyDescent="0.2">
      <c r="A27" s="176">
        <v>10</v>
      </c>
      <c r="C27" s="177">
        <v>43639</v>
      </c>
      <c r="E27" s="178" t="s">
        <v>524</v>
      </c>
      <c r="G27" s="178" t="s">
        <v>762</v>
      </c>
      <c r="I27" s="181" t="s">
        <v>763</v>
      </c>
    </row>
    <row r="29" spans="1:9" x14ac:dyDescent="0.2">
      <c r="A29" s="176">
        <v>11</v>
      </c>
      <c r="B29" s="183"/>
      <c r="C29" s="177">
        <v>43672</v>
      </c>
      <c r="E29" s="178" t="s">
        <v>764</v>
      </c>
      <c r="G29" s="178" t="s">
        <v>765</v>
      </c>
      <c r="I29" s="181" t="s">
        <v>766</v>
      </c>
    </row>
    <row r="31" spans="1:9" x14ac:dyDescent="0.2">
      <c r="A31" s="176">
        <v>12</v>
      </c>
      <c r="B31" s="183"/>
      <c r="C31" s="177">
        <v>43681</v>
      </c>
      <c r="E31" s="178" t="s">
        <v>524</v>
      </c>
      <c r="G31" s="178" t="s">
        <v>768</v>
      </c>
      <c r="I31" s="181" t="s">
        <v>766</v>
      </c>
    </row>
    <row r="33" spans="1:9" x14ac:dyDescent="0.2">
      <c r="A33" s="176">
        <v>13</v>
      </c>
      <c r="B33" s="183"/>
      <c r="C33" s="177">
        <v>43800</v>
      </c>
      <c r="E33" s="178" t="s">
        <v>524</v>
      </c>
      <c r="G33" s="178" t="s">
        <v>767</v>
      </c>
      <c r="I33" s="181" t="s">
        <v>303</v>
      </c>
    </row>
  </sheetData>
  <mergeCells count="2">
    <mergeCell ref="D2:G2"/>
    <mergeCell ref="C4:D4"/>
  </mergeCells>
  <pageMargins left="0.44" right="0.33" top="0.75" bottom="0.75" header="0.3" footer="0.3"/>
  <pageSetup paperSize="9"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7792-1718-473B-B46A-75E804F6A16C}">
  <dimension ref="A1:G37"/>
  <sheetViews>
    <sheetView workbookViewId="0">
      <selection activeCell="J31" sqref="J31"/>
    </sheetView>
  </sheetViews>
  <sheetFormatPr defaultRowHeight="12.75" x14ac:dyDescent="0.2"/>
  <cols>
    <col min="1" max="1" width="2.85546875" style="159" customWidth="1"/>
    <col min="2" max="2" width="8" style="189" customWidth="1"/>
    <col min="3" max="4" width="7.42578125" style="184" customWidth="1"/>
    <col min="5" max="5" width="11.28515625" style="184" customWidth="1"/>
    <col min="6" max="6" width="69.5703125" customWidth="1"/>
    <col min="7" max="7" width="39.42578125" customWidth="1"/>
  </cols>
  <sheetData>
    <row r="1" spans="1:7" s="198" customFormat="1" ht="15.75" x14ac:dyDescent="0.2">
      <c r="A1" s="345" t="s">
        <v>771</v>
      </c>
      <c r="B1" s="345"/>
      <c r="C1" s="345"/>
      <c r="D1" s="345"/>
      <c r="E1" s="345"/>
      <c r="F1" s="345"/>
      <c r="G1" s="345"/>
    </row>
    <row r="2" spans="1:7" s="198" customFormat="1" x14ac:dyDescent="0.2">
      <c r="A2" s="159"/>
      <c r="B2" s="199"/>
      <c r="C2" s="200"/>
      <c r="D2" s="200"/>
      <c r="E2" s="200"/>
    </row>
    <row r="3" spans="1:7" s="198" customFormat="1" ht="15.75" x14ac:dyDescent="0.2">
      <c r="A3" s="345" t="s">
        <v>776</v>
      </c>
      <c r="B3" s="345"/>
      <c r="C3" s="345"/>
      <c r="D3" s="345"/>
      <c r="E3" s="345"/>
      <c r="F3" s="345"/>
      <c r="G3" s="345"/>
    </row>
    <row r="4" spans="1:7" s="198" customFormat="1" x14ac:dyDescent="0.2">
      <c r="A4" s="159"/>
      <c r="B4" s="199"/>
      <c r="C4" s="200"/>
      <c r="D4" s="200"/>
      <c r="E4" s="200"/>
    </row>
    <row r="5" spans="1:7" s="198" customFormat="1" ht="15" customHeight="1" x14ac:dyDescent="0.2">
      <c r="A5" s="346"/>
      <c r="B5" s="352" t="s">
        <v>1</v>
      </c>
      <c r="C5" s="349" t="s">
        <v>772</v>
      </c>
      <c r="D5" s="349" t="s">
        <v>773</v>
      </c>
      <c r="E5" s="350" t="s">
        <v>774</v>
      </c>
      <c r="F5" s="351" t="s">
        <v>529</v>
      </c>
      <c r="G5" s="351" t="s">
        <v>2</v>
      </c>
    </row>
    <row r="6" spans="1:7" s="198" customFormat="1" ht="15" customHeight="1" x14ac:dyDescent="0.2">
      <c r="A6" s="346"/>
      <c r="B6" s="352"/>
      <c r="C6" s="349"/>
      <c r="D6" s="349"/>
      <c r="E6" s="350"/>
      <c r="F6" s="351"/>
      <c r="G6" s="351"/>
    </row>
    <row r="7" spans="1:7" ht="15" customHeight="1" x14ac:dyDescent="0.2">
      <c r="B7" s="190"/>
      <c r="C7" s="188"/>
      <c r="D7" s="188"/>
      <c r="E7" s="188"/>
      <c r="F7" s="187"/>
      <c r="G7" s="187"/>
    </row>
    <row r="8" spans="1:7" ht="15" customHeight="1" x14ac:dyDescent="0.2">
      <c r="B8" s="190"/>
      <c r="C8" s="188"/>
      <c r="D8" s="188"/>
      <c r="E8" s="347">
        <f xml:space="preserve"> SUM(E10:E33)</f>
        <v>4.8125000000000018</v>
      </c>
      <c r="F8" s="348"/>
      <c r="G8" s="187"/>
    </row>
    <row r="10" spans="1:7" x14ac:dyDescent="0.2">
      <c r="A10" s="197"/>
      <c r="B10" s="194">
        <v>43964</v>
      </c>
      <c r="C10" s="195">
        <v>0.65625</v>
      </c>
      <c r="D10" s="195">
        <v>0.73958333333333337</v>
      </c>
      <c r="E10" s="186">
        <f t="shared" ref="E10:E16" si="0">D10-C10</f>
        <v>8.333333333333337E-2</v>
      </c>
      <c r="F10" s="192" t="s">
        <v>770</v>
      </c>
      <c r="G10" s="192" t="s">
        <v>775</v>
      </c>
    </row>
    <row r="11" spans="1:7" x14ac:dyDescent="0.2">
      <c r="A11" s="197"/>
      <c r="B11" s="194">
        <v>43965</v>
      </c>
      <c r="C11" s="195">
        <v>0.60416666666666663</v>
      </c>
      <c r="D11" s="195">
        <v>0.77083333333333337</v>
      </c>
      <c r="E11" s="186">
        <f t="shared" si="0"/>
        <v>0.16666666666666674</v>
      </c>
      <c r="F11" s="192" t="s">
        <v>770</v>
      </c>
      <c r="G11" s="192" t="s">
        <v>775</v>
      </c>
    </row>
    <row r="12" spans="1:7" x14ac:dyDescent="0.2">
      <c r="A12" s="197"/>
      <c r="B12" s="194">
        <v>43967</v>
      </c>
      <c r="C12" s="195">
        <v>0.64583333333333337</v>
      </c>
      <c r="D12" s="195">
        <v>0.77083333333333337</v>
      </c>
      <c r="E12" s="186">
        <f t="shared" si="0"/>
        <v>0.125</v>
      </c>
      <c r="F12" s="192" t="s">
        <v>770</v>
      </c>
      <c r="G12" s="192" t="s">
        <v>775</v>
      </c>
    </row>
    <row r="13" spans="1:7" x14ac:dyDescent="0.2">
      <c r="A13" s="196">
        <v>1</v>
      </c>
      <c r="B13" s="191">
        <v>43998</v>
      </c>
      <c r="C13" s="185">
        <v>0.4375</v>
      </c>
      <c r="D13" s="185">
        <v>0.75</v>
      </c>
      <c r="E13" s="186">
        <f t="shared" si="0"/>
        <v>0.3125</v>
      </c>
      <c r="F13" s="180" t="s">
        <v>770</v>
      </c>
      <c r="G13" s="180" t="s">
        <v>769</v>
      </c>
    </row>
    <row r="14" spans="1:7" x14ac:dyDescent="0.2">
      <c r="A14" s="196">
        <v>2</v>
      </c>
      <c r="B14" s="191">
        <v>43999</v>
      </c>
      <c r="C14" s="185">
        <v>0.35416666666666669</v>
      </c>
      <c r="D14" s="185">
        <v>0.75</v>
      </c>
      <c r="E14" s="186">
        <f t="shared" si="0"/>
        <v>0.39583333333333331</v>
      </c>
      <c r="F14" s="180" t="s">
        <v>770</v>
      </c>
      <c r="G14" s="180" t="s">
        <v>769</v>
      </c>
    </row>
    <row r="15" spans="1:7" x14ac:dyDescent="0.2">
      <c r="A15" s="197"/>
      <c r="B15" s="194">
        <v>44055</v>
      </c>
      <c r="C15" s="195">
        <v>0.60416666666666663</v>
      </c>
      <c r="D15" s="195">
        <v>0.70833333333333337</v>
      </c>
      <c r="E15" s="186">
        <f t="shared" si="0"/>
        <v>0.10416666666666674</v>
      </c>
      <c r="F15" s="192" t="s">
        <v>770</v>
      </c>
      <c r="G15" s="192" t="s">
        <v>777</v>
      </c>
    </row>
    <row r="16" spans="1:7" x14ac:dyDescent="0.2">
      <c r="A16" s="196">
        <v>3</v>
      </c>
      <c r="B16" s="191">
        <v>44065</v>
      </c>
      <c r="C16" s="193">
        <v>0.3125</v>
      </c>
      <c r="D16" s="193">
        <v>0.5625</v>
      </c>
      <c r="E16" s="186">
        <f t="shared" si="0"/>
        <v>0.25</v>
      </c>
      <c r="F16" s="180" t="s">
        <v>778</v>
      </c>
      <c r="G16" s="180" t="s">
        <v>779</v>
      </c>
    </row>
    <row r="17" spans="1:7" x14ac:dyDescent="0.2">
      <c r="A17" s="196">
        <v>4</v>
      </c>
      <c r="B17" s="191">
        <v>44068</v>
      </c>
      <c r="C17" s="193">
        <v>0.3125</v>
      </c>
      <c r="D17" s="193">
        <v>0.5625</v>
      </c>
      <c r="E17" s="186">
        <f t="shared" ref="E17:E22" si="1">D17-C17</f>
        <v>0.25</v>
      </c>
      <c r="F17" s="180" t="s">
        <v>778</v>
      </c>
      <c r="G17" s="180" t="s">
        <v>779</v>
      </c>
    </row>
    <row r="18" spans="1:7" x14ac:dyDescent="0.2">
      <c r="A18" s="196">
        <v>5</v>
      </c>
      <c r="B18" s="191">
        <v>44070</v>
      </c>
      <c r="C18" s="193">
        <v>0.3125</v>
      </c>
      <c r="D18" s="193">
        <v>0.52083333333333337</v>
      </c>
      <c r="E18" s="186">
        <f t="shared" si="1"/>
        <v>0.20833333333333337</v>
      </c>
      <c r="F18" s="180" t="s">
        <v>778</v>
      </c>
      <c r="G18" s="180" t="s">
        <v>779</v>
      </c>
    </row>
    <row r="19" spans="1:7" x14ac:dyDescent="0.2">
      <c r="A19" s="196">
        <v>6</v>
      </c>
      <c r="B19" s="191">
        <v>44075</v>
      </c>
      <c r="C19" s="193">
        <v>0.3125</v>
      </c>
      <c r="D19" s="193">
        <v>0.52083333333333337</v>
      </c>
      <c r="E19" s="186">
        <f t="shared" si="1"/>
        <v>0.20833333333333337</v>
      </c>
      <c r="F19" s="180" t="s">
        <v>780</v>
      </c>
      <c r="G19" s="180" t="s">
        <v>781</v>
      </c>
    </row>
    <row r="20" spans="1:7" x14ac:dyDescent="0.2">
      <c r="A20" s="196">
        <v>7</v>
      </c>
      <c r="B20" s="191">
        <v>44077</v>
      </c>
      <c r="C20" s="193">
        <v>0.3125</v>
      </c>
      <c r="D20" s="193">
        <v>0.52083333333333337</v>
      </c>
      <c r="E20" s="186">
        <f t="shared" si="1"/>
        <v>0.20833333333333337</v>
      </c>
      <c r="F20" s="180" t="s">
        <v>780</v>
      </c>
      <c r="G20" s="180" t="s">
        <v>781</v>
      </c>
    </row>
    <row r="21" spans="1:7" x14ac:dyDescent="0.2">
      <c r="A21" s="196">
        <v>8</v>
      </c>
      <c r="B21" s="191">
        <v>44082</v>
      </c>
      <c r="C21" s="193">
        <v>0.3125</v>
      </c>
      <c r="D21" s="193">
        <v>0.52083333333333337</v>
      </c>
      <c r="E21" s="186">
        <f t="shared" si="1"/>
        <v>0.20833333333333337</v>
      </c>
      <c r="F21" s="180" t="s">
        <v>780</v>
      </c>
      <c r="G21" s="180" t="s">
        <v>781</v>
      </c>
    </row>
    <row r="22" spans="1:7" x14ac:dyDescent="0.2">
      <c r="A22" s="196">
        <v>9</v>
      </c>
      <c r="B22" s="191">
        <v>44084</v>
      </c>
      <c r="C22" s="193">
        <v>0.3125</v>
      </c>
      <c r="D22" s="193">
        <v>0.52083333333333337</v>
      </c>
      <c r="E22" s="186">
        <f t="shared" si="1"/>
        <v>0.20833333333333337</v>
      </c>
      <c r="F22" s="180" t="s">
        <v>780</v>
      </c>
      <c r="G22" s="180" t="s">
        <v>781</v>
      </c>
    </row>
    <row r="23" spans="1:7" x14ac:dyDescent="0.2">
      <c r="A23" s="196">
        <v>10</v>
      </c>
      <c r="B23" s="191">
        <v>44090</v>
      </c>
      <c r="C23" s="193">
        <v>0.3125</v>
      </c>
      <c r="D23" s="193">
        <v>0.52083333333333337</v>
      </c>
      <c r="E23" s="186">
        <f t="shared" ref="E23:E28" si="2">D23-C23</f>
        <v>0.20833333333333337</v>
      </c>
      <c r="F23" s="180" t="s">
        <v>780</v>
      </c>
      <c r="G23" s="180" t="s">
        <v>781</v>
      </c>
    </row>
    <row r="24" spans="1:7" x14ac:dyDescent="0.2">
      <c r="A24" s="196">
        <v>11</v>
      </c>
      <c r="B24" s="191">
        <v>44096</v>
      </c>
      <c r="C24" s="193">
        <v>0.35416666666666669</v>
      </c>
      <c r="D24" s="193">
        <v>0.5625</v>
      </c>
      <c r="E24" s="186">
        <f t="shared" si="2"/>
        <v>0.20833333333333331</v>
      </c>
      <c r="F24" s="180" t="s">
        <v>780</v>
      </c>
      <c r="G24" s="180" t="s">
        <v>781</v>
      </c>
    </row>
    <row r="25" spans="1:7" x14ac:dyDescent="0.2">
      <c r="A25" s="196">
        <v>12</v>
      </c>
      <c r="B25" s="191">
        <v>44103</v>
      </c>
      <c r="C25" s="193">
        <v>0.3125</v>
      </c>
      <c r="D25" s="193">
        <v>0.47916666666666669</v>
      </c>
      <c r="E25" s="186">
        <f t="shared" si="2"/>
        <v>0.16666666666666669</v>
      </c>
      <c r="F25" s="180" t="s">
        <v>780</v>
      </c>
      <c r="G25" s="180" t="s">
        <v>781</v>
      </c>
    </row>
    <row r="26" spans="1:7" x14ac:dyDescent="0.2">
      <c r="A26" s="196">
        <v>13</v>
      </c>
      <c r="B26" s="191">
        <v>44105</v>
      </c>
      <c r="C26" s="193">
        <v>0.3125</v>
      </c>
      <c r="D26" s="193">
        <v>0.47916666666666669</v>
      </c>
      <c r="E26" s="186">
        <f t="shared" si="2"/>
        <v>0.16666666666666669</v>
      </c>
      <c r="F26" s="180" t="s">
        <v>780</v>
      </c>
      <c r="G26" s="180" t="s">
        <v>781</v>
      </c>
    </row>
    <row r="27" spans="1:7" x14ac:dyDescent="0.2">
      <c r="A27" s="196">
        <v>14</v>
      </c>
      <c r="B27" s="191">
        <v>44150</v>
      </c>
      <c r="C27" s="193">
        <v>0.58333333333333337</v>
      </c>
      <c r="D27" s="193">
        <v>0.83333333333333337</v>
      </c>
      <c r="E27" s="186">
        <f t="shared" si="2"/>
        <v>0.25</v>
      </c>
      <c r="F27" s="180" t="s">
        <v>783</v>
      </c>
      <c r="G27" s="180" t="s">
        <v>784</v>
      </c>
    </row>
    <row r="28" spans="1:7" x14ac:dyDescent="0.2">
      <c r="A28" s="196">
        <v>15</v>
      </c>
      <c r="B28" s="191">
        <v>44153</v>
      </c>
      <c r="C28" s="193">
        <v>0.59375</v>
      </c>
      <c r="D28" s="193">
        <v>0.80208333333333337</v>
      </c>
      <c r="E28" s="186">
        <f t="shared" si="2"/>
        <v>0.20833333333333337</v>
      </c>
      <c r="F28" s="180" t="s">
        <v>785</v>
      </c>
      <c r="G28" s="180" t="s">
        <v>786</v>
      </c>
    </row>
    <row r="29" spans="1:7" x14ac:dyDescent="0.2">
      <c r="A29" s="196">
        <v>16</v>
      </c>
      <c r="B29" s="191">
        <v>44156</v>
      </c>
      <c r="C29" s="193">
        <v>0.60416666666666663</v>
      </c>
      <c r="D29" s="193">
        <v>0.77083333333333337</v>
      </c>
      <c r="E29" s="186">
        <f t="shared" ref="E29:E34" si="3">D29-C29</f>
        <v>0.16666666666666674</v>
      </c>
      <c r="F29" s="180" t="s">
        <v>785</v>
      </c>
      <c r="G29" s="180" t="s">
        <v>786</v>
      </c>
    </row>
    <row r="30" spans="1:7" x14ac:dyDescent="0.2">
      <c r="A30" s="196">
        <v>17</v>
      </c>
      <c r="B30" s="191">
        <v>44159</v>
      </c>
      <c r="C30" s="193">
        <v>0.60416666666666663</v>
      </c>
      <c r="D30" s="193">
        <v>0.77083333333333337</v>
      </c>
      <c r="E30" s="186">
        <f t="shared" si="3"/>
        <v>0.16666666666666674</v>
      </c>
      <c r="F30" s="180" t="s">
        <v>787</v>
      </c>
      <c r="G30" s="201" t="s">
        <v>788</v>
      </c>
    </row>
    <row r="31" spans="1:7" x14ac:dyDescent="0.2">
      <c r="A31" s="196">
        <v>18</v>
      </c>
      <c r="B31" s="191">
        <v>44160</v>
      </c>
      <c r="C31" s="193">
        <v>0.60416666666666663</v>
      </c>
      <c r="D31" s="193">
        <v>0.77083333333333337</v>
      </c>
      <c r="E31" s="186">
        <f t="shared" si="3"/>
        <v>0.16666666666666674</v>
      </c>
      <c r="F31" s="180" t="s">
        <v>787</v>
      </c>
      <c r="G31" s="201" t="s">
        <v>788</v>
      </c>
    </row>
    <row r="32" spans="1:7" x14ac:dyDescent="0.2">
      <c r="A32" s="196">
        <v>19</v>
      </c>
      <c r="B32" s="191">
        <v>44164</v>
      </c>
      <c r="C32" s="193">
        <v>0.60416666666666663</v>
      </c>
      <c r="D32" s="193">
        <v>0.8125</v>
      </c>
      <c r="E32" s="186">
        <f t="shared" si="3"/>
        <v>0.20833333333333337</v>
      </c>
      <c r="F32" s="180" t="s">
        <v>787</v>
      </c>
      <c r="G32" s="201" t="s">
        <v>788</v>
      </c>
    </row>
    <row r="33" spans="1:7" x14ac:dyDescent="0.2">
      <c r="A33" s="196">
        <v>20</v>
      </c>
      <c r="B33" s="191">
        <v>44165</v>
      </c>
      <c r="C33" s="193">
        <v>0.60416666666666663</v>
      </c>
      <c r="D33" s="193">
        <v>0.77083333333333337</v>
      </c>
      <c r="E33" s="186">
        <f t="shared" si="3"/>
        <v>0.16666666666666674</v>
      </c>
      <c r="F33" s="180" t="s">
        <v>787</v>
      </c>
      <c r="G33" s="201" t="s">
        <v>788</v>
      </c>
    </row>
    <row r="34" spans="1:7" x14ac:dyDescent="0.2">
      <c r="A34" s="196">
        <v>21</v>
      </c>
      <c r="B34" s="191">
        <v>44167</v>
      </c>
      <c r="C34" s="193">
        <v>0.4375</v>
      </c>
      <c r="D34" s="193">
        <v>0.77083333333333337</v>
      </c>
      <c r="E34" s="186">
        <f t="shared" si="3"/>
        <v>0.33333333333333337</v>
      </c>
      <c r="F34" s="180" t="s">
        <v>787</v>
      </c>
      <c r="G34" s="201" t="s">
        <v>788</v>
      </c>
    </row>
    <row r="35" spans="1:7" x14ac:dyDescent="0.2">
      <c r="A35" s="196">
        <v>22</v>
      </c>
      <c r="B35" s="191">
        <v>44168</v>
      </c>
      <c r="C35" s="193">
        <v>0.5625</v>
      </c>
      <c r="D35" s="193">
        <v>0.6875</v>
      </c>
      <c r="E35" s="186">
        <f>D35-C35</f>
        <v>0.125</v>
      </c>
      <c r="F35" s="180" t="s">
        <v>787</v>
      </c>
      <c r="G35" s="201" t="s">
        <v>788</v>
      </c>
    </row>
    <row r="36" spans="1:7" x14ac:dyDescent="0.2">
      <c r="A36" s="196">
        <v>23</v>
      </c>
      <c r="B36" s="191">
        <v>44174</v>
      </c>
      <c r="C36" s="193">
        <v>0.625</v>
      </c>
      <c r="D36" s="193">
        <v>0.79166666666666663</v>
      </c>
      <c r="E36" s="186">
        <f>D36-C36</f>
        <v>0.16666666666666663</v>
      </c>
      <c r="F36" s="180" t="s">
        <v>787</v>
      </c>
      <c r="G36" s="201" t="s">
        <v>788</v>
      </c>
    </row>
    <row r="37" spans="1:7" x14ac:dyDescent="0.2">
      <c r="A37" s="196">
        <v>24</v>
      </c>
      <c r="B37" s="191">
        <v>44176</v>
      </c>
      <c r="C37" s="193">
        <v>0.625</v>
      </c>
      <c r="D37" s="193">
        <v>0.75</v>
      </c>
      <c r="E37" s="186">
        <f>D37-C37</f>
        <v>0.125</v>
      </c>
      <c r="F37" s="180" t="s">
        <v>787</v>
      </c>
      <c r="G37" s="201" t="s">
        <v>788</v>
      </c>
    </row>
  </sheetData>
  <mergeCells count="10">
    <mergeCell ref="A1:G1"/>
    <mergeCell ref="A5:A6"/>
    <mergeCell ref="A3:G3"/>
    <mergeCell ref="E8:F8"/>
    <mergeCell ref="D5:D6"/>
    <mergeCell ref="E5:E6"/>
    <mergeCell ref="F5:F6"/>
    <mergeCell ref="G5:G6"/>
    <mergeCell ref="B5:B6"/>
    <mergeCell ref="C5:C6"/>
  </mergeCells>
  <pageMargins left="0.19" right="0.19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9BD2-58D0-4A3E-BF47-5EBBDAF9A87C}">
  <dimension ref="A1:H18"/>
  <sheetViews>
    <sheetView workbookViewId="0">
      <selection activeCell="G23" sqref="G23"/>
    </sheetView>
  </sheetViews>
  <sheetFormatPr defaultRowHeight="12.75" x14ac:dyDescent="0.2"/>
  <cols>
    <col min="1" max="1" width="2.85546875" style="159" customWidth="1"/>
    <col min="2" max="2" width="8.85546875" style="159" bestFit="1" customWidth="1"/>
    <col min="3" max="3" width="8" style="189" customWidth="1"/>
    <col min="4" max="5" width="7.42578125" style="184" customWidth="1"/>
    <col min="6" max="6" width="11.28515625" style="184" customWidth="1"/>
    <col min="7" max="7" width="60.42578125" customWidth="1"/>
    <col min="8" max="8" width="39.42578125" customWidth="1"/>
  </cols>
  <sheetData>
    <row r="1" spans="1:8" s="198" customFormat="1" ht="15.75" x14ac:dyDescent="0.2">
      <c r="A1" s="345" t="s">
        <v>790</v>
      </c>
      <c r="B1" s="345"/>
      <c r="C1" s="345"/>
      <c r="D1" s="345"/>
      <c r="E1" s="345"/>
      <c r="F1" s="345"/>
      <c r="G1" s="345"/>
      <c r="H1" s="345"/>
    </row>
    <row r="2" spans="1:8" s="198" customFormat="1" x14ac:dyDescent="0.2">
      <c r="A2" s="159"/>
      <c r="B2" s="159"/>
      <c r="C2" s="199"/>
      <c r="D2" s="200"/>
      <c r="E2" s="200"/>
      <c r="F2" s="200"/>
    </row>
    <row r="3" spans="1:8" s="198" customFormat="1" ht="15.75" x14ac:dyDescent="0.2">
      <c r="A3" s="345" t="s">
        <v>791</v>
      </c>
      <c r="B3" s="345"/>
      <c r="C3" s="345"/>
      <c r="D3" s="345"/>
      <c r="E3" s="345"/>
      <c r="F3" s="345"/>
      <c r="G3" s="345"/>
      <c r="H3" s="345"/>
    </row>
    <row r="4" spans="1:8" s="198" customFormat="1" x14ac:dyDescent="0.2">
      <c r="A4" s="159"/>
      <c r="B4" s="159"/>
      <c r="C4" s="199"/>
      <c r="D4" s="200"/>
      <c r="E4" s="200"/>
      <c r="F4" s="200"/>
    </row>
    <row r="5" spans="1:8" s="198" customFormat="1" ht="15" customHeight="1" x14ac:dyDescent="0.2">
      <c r="A5" s="346"/>
      <c r="B5" s="234" t="s">
        <v>913</v>
      </c>
      <c r="C5" s="352" t="s">
        <v>1</v>
      </c>
      <c r="D5" s="349" t="s">
        <v>772</v>
      </c>
      <c r="E5" s="349" t="s">
        <v>773</v>
      </c>
      <c r="F5" s="350" t="s">
        <v>774</v>
      </c>
      <c r="G5" s="351" t="s">
        <v>529</v>
      </c>
      <c r="H5" s="351" t="s">
        <v>2</v>
      </c>
    </row>
    <row r="6" spans="1:8" s="198" customFormat="1" ht="15" customHeight="1" x14ac:dyDescent="0.2">
      <c r="A6" s="346"/>
      <c r="B6" s="235" t="s">
        <v>914</v>
      </c>
      <c r="C6" s="352"/>
      <c r="D6" s="349"/>
      <c r="E6" s="349"/>
      <c r="F6" s="350"/>
      <c r="G6" s="351"/>
      <c r="H6" s="351"/>
    </row>
    <row r="7" spans="1:8" ht="15" customHeight="1" x14ac:dyDescent="0.2">
      <c r="C7" s="190"/>
      <c r="D7" s="188"/>
      <c r="E7" s="188"/>
      <c r="F7" s="188"/>
      <c r="G7" s="187"/>
      <c r="H7" s="187"/>
    </row>
    <row r="8" spans="1:8" ht="15" customHeight="1" x14ac:dyDescent="0.2">
      <c r="C8" s="190"/>
      <c r="D8" s="188"/>
      <c r="E8" s="188"/>
      <c r="F8" s="347">
        <f xml:space="preserve"> SUM(F10:F18)</f>
        <v>2.25</v>
      </c>
      <c r="G8" s="348"/>
      <c r="H8" s="187"/>
    </row>
    <row r="10" spans="1:8" x14ac:dyDescent="0.2">
      <c r="A10" s="196">
        <v>1</v>
      </c>
      <c r="B10" s="234" t="s">
        <v>913</v>
      </c>
      <c r="C10" s="202">
        <v>44386</v>
      </c>
      <c r="D10" s="185">
        <v>0.33333333333333331</v>
      </c>
      <c r="E10" s="185">
        <v>0.58333333333333337</v>
      </c>
      <c r="F10" s="203">
        <f t="shared" ref="F10:F15" si="0">E10-D10</f>
        <v>0.25000000000000006</v>
      </c>
      <c r="G10" s="180" t="s">
        <v>789</v>
      </c>
      <c r="H10" s="180" t="s">
        <v>792</v>
      </c>
    </row>
    <row r="11" spans="1:8" x14ac:dyDescent="0.2">
      <c r="A11" s="196">
        <v>2</v>
      </c>
      <c r="B11" s="234" t="s">
        <v>913</v>
      </c>
      <c r="C11" s="202">
        <v>44388</v>
      </c>
      <c r="D11" s="185">
        <v>0.58333333333333337</v>
      </c>
      <c r="E11" s="185">
        <v>0.83333333333333337</v>
      </c>
      <c r="F11" s="203">
        <f t="shared" si="0"/>
        <v>0.25</v>
      </c>
      <c r="G11" s="180" t="s">
        <v>789</v>
      </c>
      <c r="H11" s="180" t="s">
        <v>792</v>
      </c>
    </row>
    <row r="12" spans="1:8" x14ac:dyDescent="0.2">
      <c r="A12" s="196">
        <v>3</v>
      </c>
      <c r="B12" s="234" t="s">
        <v>913</v>
      </c>
      <c r="C12" s="202">
        <v>44395</v>
      </c>
      <c r="D12" s="185">
        <v>0.58333333333333337</v>
      </c>
      <c r="E12" s="185">
        <v>0.83333333333333337</v>
      </c>
      <c r="F12" s="203">
        <f t="shared" si="0"/>
        <v>0.25</v>
      </c>
      <c r="G12" s="180" t="s">
        <v>789</v>
      </c>
      <c r="H12" s="180" t="s">
        <v>792</v>
      </c>
    </row>
    <row r="13" spans="1:8" x14ac:dyDescent="0.2">
      <c r="A13" s="196">
        <v>4</v>
      </c>
      <c r="B13" s="234" t="s">
        <v>913</v>
      </c>
      <c r="C13" s="202">
        <v>44402</v>
      </c>
      <c r="D13" s="185">
        <v>0.58333333333333337</v>
      </c>
      <c r="E13" s="185">
        <v>0.83333333333333337</v>
      </c>
      <c r="F13" s="203">
        <f t="shared" si="0"/>
        <v>0.25</v>
      </c>
      <c r="G13" s="180" t="s">
        <v>789</v>
      </c>
      <c r="H13" s="180" t="s">
        <v>792</v>
      </c>
    </row>
    <row r="14" spans="1:8" x14ac:dyDescent="0.2">
      <c r="A14" s="196">
        <v>5</v>
      </c>
      <c r="B14" s="234" t="s">
        <v>913</v>
      </c>
      <c r="C14" s="202">
        <v>44409</v>
      </c>
      <c r="D14" s="185">
        <v>0.58333333333333337</v>
      </c>
      <c r="E14" s="185">
        <v>0.83333333333333337</v>
      </c>
      <c r="F14" s="203">
        <f t="shared" si="0"/>
        <v>0.25</v>
      </c>
      <c r="G14" s="180" t="s">
        <v>789</v>
      </c>
      <c r="H14" s="180" t="s">
        <v>792</v>
      </c>
    </row>
    <row r="15" spans="1:8" x14ac:dyDescent="0.2">
      <c r="A15" s="196">
        <v>6</v>
      </c>
      <c r="B15" s="234" t="s">
        <v>913</v>
      </c>
      <c r="C15" s="202">
        <v>44422</v>
      </c>
      <c r="D15" s="185">
        <v>0.33333333333333331</v>
      </c>
      <c r="E15" s="185">
        <v>0.58333333333333337</v>
      </c>
      <c r="F15" s="203">
        <f t="shared" si="0"/>
        <v>0.25000000000000006</v>
      </c>
      <c r="G15" s="180" t="s">
        <v>912</v>
      </c>
      <c r="H15" s="180" t="s">
        <v>792</v>
      </c>
    </row>
    <row r="16" spans="1:8" x14ac:dyDescent="0.2">
      <c r="A16" s="196">
        <v>7</v>
      </c>
      <c r="B16" s="235" t="s">
        <v>914</v>
      </c>
      <c r="C16" s="202">
        <v>44444</v>
      </c>
      <c r="D16" s="185">
        <v>0.58333333333333337</v>
      </c>
      <c r="E16" s="185">
        <v>0.83333333333333337</v>
      </c>
      <c r="F16" s="203">
        <f>E16-D16</f>
        <v>0.25</v>
      </c>
      <c r="G16" s="180" t="s">
        <v>789</v>
      </c>
      <c r="H16" s="180" t="s">
        <v>792</v>
      </c>
    </row>
    <row r="17" spans="1:8" x14ac:dyDescent="0.2">
      <c r="A17" s="196">
        <v>8</v>
      </c>
      <c r="B17" s="235" t="s">
        <v>914</v>
      </c>
      <c r="C17" s="202">
        <v>44451</v>
      </c>
      <c r="D17" s="185">
        <v>0.58333333333333337</v>
      </c>
      <c r="E17" s="185">
        <v>0.83333333333333337</v>
      </c>
      <c r="F17" s="203">
        <f>E17-D17</f>
        <v>0.25</v>
      </c>
      <c r="G17" s="180" t="s">
        <v>789</v>
      </c>
      <c r="H17" s="180" t="s">
        <v>792</v>
      </c>
    </row>
    <row r="18" spans="1:8" x14ac:dyDescent="0.2">
      <c r="A18" s="196">
        <v>9</v>
      </c>
      <c r="B18" s="235" t="s">
        <v>914</v>
      </c>
      <c r="C18" s="202">
        <v>44465</v>
      </c>
      <c r="D18" s="185">
        <v>0.33333333333333331</v>
      </c>
      <c r="E18" s="185">
        <v>0.58333333333333337</v>
      </c>
      <c r="F18" s="203">
        <f>E18-D18</f>
        <v>0.25000000000000006</v>
      </c>
      <c r="G18" s="180" t="s">
        <v>789</v>
      </c>
      <c r="H18" s="180" t="s">
        <v>792</v>
      </c>
    </row>
  </sheetData>
  <mergeCells count="10">
    <mergeCell ref="F8:G8"/>
    <mergeCell ref="A1:H1"/>
    <mergeCell ref="A3:H3"/>
    <mergeCell ref="A5:A6"/>
    <mergeCell ref="C5:C6"/>
    <mergeCell ref="D5:D6"/>
    <mergeCell ref="E5:E6"/>
    <mergeCell ref="F5:F6"/>
    <mergeCell ref="G5:G6"/>
    <mergeCell ref="H5:H6"/>
  </mergeCells>
  <pageMargins left="0.27" right="0.12" top="0.75" bottom="0.75" header="0.3" footer="0.3"/>
  <pageSetup paperSize="9" orientation="landscape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F3E0-6745-4008-8B39-1007230184F6}">
  <dimension ref="A1:H16"/>
  <sheetViews>
    <sheetView workbookViewId="0">
      <selection activeCell="J25" sqref="J25"/>
    </sheetView>
  </sheetViews>
  <sheetFormatPr defaultRowHeight="12.75" x14ac:dyDescent="0.2"/>
  <cols>
    <col min="1" max="1" width="2.85546875" style="159" customWidth="1"/>
    <col min="2" max="2" width="8.85546875" style="159" bestFit="1" customWidth="1"/>
    <col min="3" max="3" width="8" style="189" customWidth="1"/>
    <col min="4" max="5" width="7.42578125" style="184" customWidth="1"/>
    <col min="6" max="6" width="11.28515625" style="184" customWidth="1"/>
    <col min="7" max="7" width="60.42578125" customWidth="1"/>
    <col min="8" max="8" width="39.42578125" customWidth="1"/>
  </cols>
  <sheetData>
    <row r="1" spans="1:8" s="198" customFormat="1" ht="15.75" x14ac:dyDescent="0.2">
      <c r="A1" s="345" t="s">
        <v>915</v>
      </c>
      <c r="B1" s="345"/>
      <c r="C1" s="345"/>
      <c r="D1" s="345"/>
      <c r="E1" s="345"/>
      <c r="F1" s="345"/>
      <c r="G1" s="345"/>
      <c r="H1" s="345"/>
    </row>
    <row r="2" spans="1:8" s="198" customFormat="1" x14ac:dyDescent="0.2">
      <c r="A2" s="159"/>
      <c r="B2" s="159"/>
      <c r="C2" s="199"/>
      <c r="D2" s="200"/>
      <c r="E2" s="200"/>
      <c r="F2" s="200"/>
    </row>
    <row r="3" spans="1:8" s="198" customFormat="1" ht="15.75" x14ac:dyDescent="0.2">
      <c r="A3" s="345" t="s">
        <v>918</v>
      </c>
      <c r="B3" s="345"/>
      <c r="C3" s="345"/>
      <c r="D3" s="345"/>
      <c r="E3" s="345"/>
      <c r="F3" s="345"/>
      <c r="G3" s="345"/>
      <c r="H3" s="345"/>
    </row>
    <row r="4" spans="1:8" s="198" customFormat="1" x14ac:dyDescent="0.2">
      <c r="A4" s="159"/>
      <c r="B4" s="159"/>
      <c r="C4" s="199"/>
      <c r="D4" s="200"/>
      <c r="E4" s="200"/>
      <c r="F4" s="200"/>
    </row>
    <row r="5" spans="1:8" s="198" customFormat="1" ht="15" customHeight="1" x14ac:dyDescent="0.2">
      <c r="A5" s="346"/>
      <c r="B5" s="234" t="s">
        <v>913</v>
      </c>
      <c r="C5" s="352" t="s">
        <v>1</v>
      </c>
      <c r="D5" s="349" t="s">
        <v>772</v>
      </c>
      <c r="E5" s="349" t="s">
        <v>773</v>
      </c>
      <c r="F5" s="350" t="s">
        <v>774</v>
      </c>
      <c r="G5" s="351" t="s">
        <v>529</v>
      </c>
      <c r="H5" s="351" t="s">
        <v>2</v>
      </c>
    </row>
    <row r="6" spans="1:8" s="198" customFormat="1" ht="15" customHeight="1" x14ac:dyDescent="0.2">
      <c r="A6" s="346"/>
      <c r="B6" s="235" t="s">
        <v>914</v>
      </c>
      <c r="C6" s="352"/>
      <c r="D6" s="349"/>
      <c r="E6" s="349"/>
      <c r="F6" s="350"/>
      <c r="G6" s="351"/>
      <c r="H6" s="351"/>
    </row>
    <row r="7" spans="1:8" ht="15" customHeight="1" x14ac:dyDescent="0.2">
      <c r="C7" s="190"/>
      <c r="D7" s="188"/>
      <c r="E7" s="188"/>
      <c r="F7" s="188"/>
      <c r="G7" s="187"/>
      <c r="H7" s="187"/>
    </row>
    <row r="8" spans="1:8" ht="15" customHeight="1" x14ac:dyDescent="0.2">
      <c r="C8" s="190"/>
      <c r="D8" s="188"/>
      <c r="E8" s="188"/>
      <c r="F8" s="347">
        <f xml:space="preserve"> SUM(F10:F16)</f>
        <v>1.4583333333333335</v>
      </c>
      <c r="G8" s="348"/>
      <c r="H8" s="187"/>
    </row>
    <row r="10" spans="1:8" x14ac:dyDescent="0.2">
      <c r="A10" s="196">
        <v>1</v>
      </c>
      <c r="B10" s="234" t="s">
        <v>913</v>
      </c>
      <c r="C10" s="202">
        <v>44763</v>
      </c>
      <c r="D10" s="185">
        <v>0.875</v>
      </c>
      <c r="E10" s="185">
        <v>0.99930555555555556</v>
      </c>
      <c r="F10" s="203">
        <f t="shared" ref="F10:F16" si="0">E10-D10</f>
        <v>0.12430555555555556</v>
      </c>
      <c r="G10" s="180" t="s">
        <v>916</v>
      </c>
      <c r="H10" s="180" t="s">
        <v>917</v>
      </c>
    </row>
    <row r="11" spans="1:8" x14ac:dyDescent="0.2">
      <c r="A11" s="196">
        <v>2</v>
      </c>
      <c r="B11" s="234" t="s">
        <v>913</v>
      </c>
      <c r="C11" s="202">
        <v>44764</v>
      </c>
      <c r="D11" s="185">
        <v>0</v>
      </c>
      <c r="E11" s="185">
        <v>6.25E-2</v>
      </c>
      <c r="F11" s="203">
        <f t="shared" si="0"/>
        <v>6.25E-2</v>
      </c>
      <c r="G11" s="180" t="s">
        <v>916</v>
      </c>
      <c r="H11" s="180" t="s">
        <v>917</v>
      </c>
    </row>
    <row r="12" spans="1:8" x14ac:dyDescent="0.2">
      <c r="A12" s="196">
        <v>3</v>
      </c>
      <c r="B12" s="234" t="s">
        <v>913</v>
      </c>
      <c r="C12" s="202">
        <v>44764</v>
      </c>
      <c r="D12" s="185">
        <v>6.25E-2</v>
      </c>
      <c r="E12" s="185">
        <v>6.3194444444444442E-2</v>
      </c>
      <c r="F12" s="203">
        <f t="shared" si="0"/>
        <v>6.9444444444444198E-4</v>
      </c>
      <c r="G12" s="180" t="s">
        <v>916</v>
      </c>
      <c r="H12" s="180" t="s">
        <v>917</v>
      </c>
    </row>
    <row r="13" spans="1:8" x14ac:dyDescent="0.2">
      <c r="A13" s="196">
        <v>4</v>
      </c>
      <c r="B13" s="234" t="s">
        <v>913</v>
      </c>
      <c r="C13" s="202">
        <v>44765</v>
      </c>
      <c r="D13" s="185">
        <v>0.29166666666666669</v>
      </c>
      <c r="E13" s="185">
        <v>0.5625</v>
      </c>
      <c r="F13" s="203">
        <f t="shared" si="0"/>
        <v>0.27083333333333331</v>
      </c>
      <c r="G13" s="180" t="s">
        <v>916</v>
      </c>
      <c r="H13" s="180" t="s">
        <v>920</v>
      </c>
    </row>
    <row r="14" spans="1:8" x14ac:dyDescent="0.2">
      <c r="A14" s="196">
        <v>5</v>
      </c>
      <c r="B14" s="234" t="s">
        <v>913</v>
      </c>
      <c r="C14" s="202">
        <v>44835</v>
      </c>
      <c r="D14" s="185">
        <v>0.375</v>
      </c>
      <c r="E14" s="185">
        <v>0.54166666666666663</v>
      </c>
      <c r="F14" s="203">
        <f t="shared" si="0"/>
        <v>0.16666666666666663</v>
      </c>
      <c r="G14" s="180" t="s">
        <v>925</v>
      </c>
      <c r="H14" s="180" t="s">
        <v>926</v>
      </c>
    </row>
    <row r="15" spans="1:8" s="198" customFormat="1" ht="37.5" customHeight="1" x14ac:dyDescent="0.2">
      <c r="A15" s="196">
        <v>6</v>
      </c>
      <c r="B15" s="234" t="s">
        <v>913</v>
      </c>
      <c r="C15" s="240">
        <v>44850</v>
      </c>
      <c r="D15" s="241">
        <v>0.41666666666666669</v>
      </c>
      <c r="E15" s="241">
        <v>0.79166666666666663</v>
      </c>
      <c r="F15" s="239">
        <f t="shared" si="0"/>
        <v>0.37499999999999994</v>
      </c>
      <c r="G15" s="215" t="s">
        <v>927</v>
      </c>
      <c r="H15" s="215" t="s">
        <v>928</v>
      </c>
    </row>
    <row r="16" spans="1:8" x14ac:dyDescent="0.2">
      <c r="A16" s="196">
        <v>7</v>
      </c>
      <c r="B16" s="234" t="s">
        <v>913</v>
      </c>
      <c r="C16" s="202">
        <v>44913</v>
      </c>
      <c r="D16" s="230">
        <v>0.3125</v>
      </c>
      <c r="E16" s="230">
        <v>0.77083333333333337</v>
      </c>
      <c r="F16" s="237">
        <f t="shared" si="0"/>
        <v>0.45833333333333337</v>
      </c>
      <c r="G16" s="180" t="s">
        <v>929</v>
      </c>
      <c r="H16" s="238" t="s">
        <v>930</v>
      </c>
    </row>
  </sheetData>
  <mergeCells count="10">
    <mergeCell ref="G5:G6"/>
    <mergeCell ref="H5:H6"/>
    <mergeCell ref="F8:G8"/>
    <mergeCell ref="A1:H1"/>
    <mergeCell ref="A3:H3"/>
    <mergeCell ref="A5:A6"/>
    <mergeCell ref="C5:C6"/>
    <mergeCell ref="D5:D6"/>
    <mergeCell ref="E5:E6"/>
    <mergeCell ref="F5:F6"/>
  </mergeCells>
  <pageMargins left="0.16" right="0.2" top="0.75" bottom="0.75" header="0.3" footer="0.3"/>
  <pageSetup paperSize="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085A-DAA0-43E2-80DC-7E449E55E90C}">
  <dimension ref="A1:H515"/>
  <sheetViews>
    <sheetView workbookViewId="0">
      <selection activeCell="L33" sqref="L33"/>
    </sheetView>
  </sheetViews>
  <sheetFormatPr defaultRowHeight="12.75" x14ac:dyDescent="0.2"/>
  <cols>
    <col min="1" max="1" width="2.85546875" style="159" customWidth="1"/>
    <col min="2" max="2" width="10.140625" style="7" bestFit="1" customWidth="1"/>
    <col min="3" max="4" width="11.85546875" style="184" bestFit="1" customWidth="1"/>
    <col min="5" max="5" width="11.28515625" style="184" customWidth="1"/>
    <col min="6" max="6" width="70.28515625" style="2" bestFit="1" customWidth="1"/>
    <col min="7" max="7" width="65.5703125" style="2" bestFit="1" customWidth="1"/>
  </cols>
  <sheetData>
    <row r="1" spans="1:7" s="198" customFormat="1" x14ac:dyDescent="0.2">
      <c r="A1" s="159"/>
      <c r="B1" s="205"/>
      <c r="C1" s="200"/>
      <c r="D1" s="200"/>
      <c r="E1" s="200"/>
      <c r="F1" s="48"/>
      <c r="G1" s="48"/>
    </row>
    <row r="2" spans="1:7" s="198" customFormat="1" ht="15" customHeight="1" x14ac:dyDescent="0.2">
      <c r="A2" s="346"/>
      <c r="B2" s="360" t="s">
        <v>1</v>
      </c>
      <c r="C2" s="349" t="s">
        <v>772</v>
      </c>
      <c r="D2" s="349" t="s">
        <v>773</v>
      </c>
      <c r="E2" s="350" t="s">
        <v>774</v>
      </c>
      <c r="F2" s="351" t="s">
        <v>529</v>
      </c>
      <c r="G2" s="351" t="s">
        <v>2</v>
      </c>
    </row>
    <row r="3" spans="1:7" s="198" customFormat="1" ht="15" customHeight="1" x14ac:dyDescent="0.2">
      <c r="A3" s="346"/>
      <c r="B3" s="360"/>
      <c r="C3" s="349"/>
      <c r="D3" s="349"/>
      <c r="E3" s="350"/>
      <c r="F3" s="351"/>
      <c r="G3" s="351"/>
    </row>
    <row r="4" spans="1:7" ht="15" customHeight="1" x14ac:dyDescent="0.2">
      <c r="B4" s="206"/>
      <c r="C4" s="188"/>
      <c r="D4" s="188"/>
      <c r="E4" s="188"/>
      <c r="F4" s="187"/>
      <c r="G4" s="187"/>
    </row>
    <row r="5" spans="1:7" ht="15" customHeight="1" x14ac:dyDescent="0.2">
      <c r="B5" s="206"/>
      <c r="C5" s="188"/>
      <c r="D5" s="188"/>
      <c r="E5" s="347">
        <f xml:space="preserve"> SUM(E8:E34)</f>
        <v>5.4166666666666679</v>
      </c>
      <c r="F5" s="348"/>
      <c r="G5" s="187"/>
    </row>
    <row r="6" spans="1:7" ht="15" customHeight="1" x14ac:dyDescent="0.2">
      <c r="B6" s="206"/>
      <c r="C6" s="188"/>
      <c r="D6" s="188"/>
      <c r="E6" s="209"/>
      <c r="F6" s="209"/>
      <c r="G6" s="187"/>
    </row>
    <row r="7" spans="1:7" x14ac:dyDescent="0.2">
      <c r="A7" s="211"/>
      <c r="B7" s="365">
        <v>2021</v>
      </c>
      <c r="C7" s="365"/>
      <c r="D7" s="365"/>
      <c r="E7" s="365"/>
      <c r="F7" s="365"/>
      <c r="G7" s="365"/>
    </row>
    <row r="8" spans="1:7" x14ac:dyDescent="0.2">
      <c r="A8" s="196">
        <v>1</v>
      </c>
      <c r="B8" s="207">
        <v>44386</v>
      </c>
      <c r="C8" s="185">
        <v>0.33333333333333331</v>
      </c>
      <c r="D8" s="185">
        <v>0.58333333333333337</v>
      </c>
      <c r="E8" s="203">
        <f>D8-C8</f>
        <v>0.25000000000000006</v>
      </c>
      <c r="F8" s="180" t="s">
        <v>789</v>
      </c>
      <c r="G8" s="180" t="s">
        <v>792</v>
      </c>
    </row>
    <row r="9" spans="1:7" x14ac:dyDescent="0.2">
      <c r="A9" s="196">
        <v>2</v>
      </c>
      <c r="B9" s="207">
        <v>44388</v>
      </c>
      <c r="C9" s="185">
        <v>0.58333333333333337</v>
      </c>
      <c r="D9" s="185">
        <v>0.83333333333333337</v>
      </c>
      <c r="E9" s="203">
        <f>D9-C9</f>
        <v>0.25</v>
      </c>
      <c r="F9" s="180" t="s">
        <v>789</v>
      </c>
      <c r="G9" s="180" t="s">
        <v>792</v>
      </c>
    </row>
    <row r="10" spans="1:7" x14ac:dyDescent="0.2">
      <c r="A10" s="196">
        <v>3</v>
      </c>
      <c r="B10" s="207">
        <v>44395</v>
      </c>
      <c r="C10" s="185">
        <v>0.58333333333333337</v>
      </c>
      <c r="D10" s="185">
        <v>0.83333333333333337</v>
      </c>
      <c r="E10" s="203">
        <f>D10-C10</f>
        <v>0.25</v>
      </c>
      <c r="F10" s="180" t="s">
        <v>789</v>
      </c>
      <c r="G10" s="180" t="s">
        <v>792</v>
      </c>
    </row>
    <row r="11" spans="1:7" x14ac:dyDescent="0.2">
      <c r="A11" s="196">
        <v>4</v>
      </c>
      <c r="B11" s="207">
        <v>44402</v>
      </c>
      <c r="C11" s="185">
        <v>0.58333333333333337</v>
      </c>
      <c r="D11" s="185">
        <v>0.83333333333333337</v>
      </c>
      <c r="E11" s="203">
        <f>D11-C11</f>
        <v>0.25</v>
      </c>
      <c r="F11" s="180" t="s">
        <v>789</v>
      </c>
      <c r="G11" s="180" t="s">
        <v>792</v>
      </c>
    </row>
    <row r="12" spans="1:7" x14ac:dyDescent="0.2">
      <c r="A12" s="196">
        <v>5</v>
      </c>
      <c r="B12" s="207">
        <v>44409</v>
      </c>
      <c r="C12" s="185">
        <v>0.58333333333333337</v>
      </c>
      <c r="D12" s="185">
        <v>0.83333333333333337</v>
      </c>
      <c r="E12" s="203">
        <f>D12-C12</f>
        <v>0.25</v>
      </c>
      <c r="F12" s="180" t="s">
        <v>789</v>
      </c>
      <c r="G12" s="180" t="s">
        <v>792</v>
      </c>
    </row>
    <row r="13" spans="1:7" x14ac:dyDescent="0.2">
      <c r="A13" s="223"/>
      <c r="B13" s="224"/>
      <c r="C13" s="225"/>
      <c r="D13" s="225"/>
      <c r="E13" s="225"/>
      <c r="F13" s="226"/>
      <c r="G13" s="227"/>
    </row>
    <row r="14" spans="1:7" x14ac:dyDescent="0.2">
      <c r="A14" s="223"/>
      <c r="B14" s="224"/>
      <c r="C14" s="225"/>
      <c r="D14" s="225"/>
      <c r="E14" s="225"/>
      <c r="F14" s="226"/>
      <c r="G14" s="227"/>
    </row>
    <row r="15" spans="1:7" x14ac:dyDescent="0.2">
      <c r="A15" s="362">
        <v>2020</v>
      </c>
      <c r="B15" s="363"/>
      <c r="C15" s="363"/>
      <c r="D15" s="363"/>
      <c r="E15" s="363"/>
      <c r="F15" s="363"/>
      <c r="G15" s="364"/>
    </row>
    <row r="16" spans="1:7" x14ac:dyDescent="0.2">
      <c r="A16" s="196">
        <v>1</v>
      </c>
      <c r="B16" s="208">
        <v>43998</v>
      </c>
      <c r="C16" s="185">
        <v>0.4375</v>
      </c>
      <c r="D16" s="185">
        <v>0.75</v>
      </c>
      <c r="E16" s="186">
        <f>D16-C16</f>
        <v>0.3125</v>
      </c>
      <c r="F16" s="180" t="s">
        <v>770</v>
      </c>
      <c r="G16" s="180" t="s">
        <v>769</v>
      </c>
    </row>
    <row r="17" spans="1:7" x14ac:dyDescent="0.2">
      <c r="A17" s="196">
        <v>2</v>
      </c>
      <c r="B17" s="208">
        <v>43999</v>
      </c>
      <c r="C17" s="185">
        <v>0.35416666666666669</v>
      </c>
      <c r="D17" s="185">
        <v>0.75</v>
      </c>
      <c r="E17" s="186">
        <f t="shared" ref="E17:E39" si="0">D17-C17</f>
        <v>0.39583333333333331</v>
      </c>
      <c r="F17" s="180" t="s">
        <v>770</v>
      </c>
      <c r="G17" s="180" t="s">
        <v>769</v>
      </c>
    </row>
    <row r="18" spans="1:7" x14ac:dyDescent="0.2">
      <c r="A18" s="196">
        <v>3</v>
      </c>
      <c r="B18" s="208">
        <v>44065</v>
      </c>
      <c r="C18" s="193">
        <v>0.3125</v>
      </c>
      <c r="D18" s="193">
        <v>0.5625</v>
      </c>
      <c r="E18" s="186">
        <f t="shared" si="0"/>
        <v>0.25</v>
      </c>
      <c r="F18" s="180" t="s">
        <v>778</v>
      </c>
      <c r="G18" s="180" t="s">
        <v>779</v>
      </c>
    </row>
    <row r="19" spans="1:7" x14ac:dyDescent="0.2">
      <c r="A19" s="196">
        <v>4</v>
      </c>
      <c r="B19" s="208">
        <v>44068</v>
      </c>
      <c r="C19" s="193">
        <v>0.3125</v>
      </c>
      <c r="D19" s="193">
        <v>0.5625</v>
      </c>
      <c r="E19" s="186">
        <f t="shared" si="0"/>
        <v>0.25</v>
      </c>
      <c r="F19" s="180" t="s">
        <v>778</v>
      </c>
      <c r="G19" s="180" t="s">
        <v>779</v>
      </c>
    </row>
    <row r="20" spans="1:7" x14ac:dyDescent="0.2">
      <c r="A20" s="196">
        <v>5</v>
      </c>
      <c r="B20" s="208">
        <v>44070</v>
      </c>
      <c r="C20" s="193">
        <v>0.3125</v>
      </c>
      <c r="D20" s="193">
        <v>0.52083333333333337</v>
      </c>
      <c r="E20" s="186">
        <f t="shared" si="0"/>
        <v>0.20833333333333337</v>
      </c>
      <c r="F20" s="180" t="s">
        <v>778</v>
      </c>
      <c r="G20" s="180" t="s">
        <v>779</v>
      </c>
    </row>
    <row r="21" spans="1:7" x14ac:dyDescent="0.2">
      <c r="A21" s="196">
        <v>6</v>
      </c>
      <c r="B21" s="208">
        <v>44075</v>
      </c>
      <c r="C21" s="193">
        <v>0.3125</v>
      </c>
      <c r="D21" s="193">
        <v>0.52083333333333337</v>
      </c>
      <c r="E21" s="186">
        <f t="shared" si="0"/>
        <v>0.20833333333333337</v>
      </c>
      <c r="F21" s="180" t="s">
        <v>780</v>
      </c>
      <c r="G21" s="180" t="s">
        <v>781</v>
      </c>
    </row>
    <row r="22" spans="1:7" x14ac:dyDescent="0.2">
      <c r="A22" s="196">
        <v>7</v>
      </c>
      <c r="B22" s="208">
        <v>44077</v>
      </c>
      <c r="C22" s="193">
        <v>0.3125</v>
      </c>
      <c r="D22" s="193">
        <v>0.52083333333333337</v>
      </c>
      <c r="E22" s="186">
        <f t="shared" si="0"/>
        <v>0.20833333333333337</v>
      </c>
      <c r="F22" s="180" t="s">
        <v>780</v>
      </c>
      <c r="G22" s="180" t="s">
        <v>781</v>
      </c>
    </row>
    <row r="23" spans="1:7" x14ac:dyDescent="0.2">
      <c r="A23" s="196">
        <v>8</v>
      </c>
      <c r="B23" s="208">
        <v>44082</v>
      </c>
      <c r="C23" s="193">
        <v>0.3125</v>
      </c>
      <c r="D23" s="193">
        <v>0.52083333333333337</v>
      </c>
      <c r="E23" s="186">
        <f t="shared" si="0"/>
        <v>0.20833333333333337</v>
      </c>
      <c r="F23" s="180" t="s">
        <v>780</v>
      </c>
      <c r="G23" s="180" t="s">
        <v>781</v>
      </c>
    </row>
    <row r="24" spans="1:7" x14ac:dyDescent="0.2">
      <c r="A24" s="196">
        <v>9</v>
      </c>
      <c r="B24" s="208">
        <v>44084</v>
      </c>
      <c r="C24" s="193">
        <v>0.3125</v>
      </c>
      <c r="D24" s="193">
        <v>0.52083333333333337</v>
      </c>
      <c r="E24" s="186">
        <f t="shared" si="0"/>
        <v>0.20833333333333337</v>
      </c>
      <c r="F24" s="180" t="s">
        <v>780</v>
      </c>
      <c r="G24" s="180" t="s">
        <v>781</v>
      </c>
    </row>
    <row r="25" spans="1:7" x14ac:dyDescent="0.2">
      <c r="A25" s="196">
        <v>10</v>
      </c>
      <c r="B25" s="208">
        <v>44090</v>
      </c>
      <c r="C25" s="193">
        <v>0.3125</v>
      </c>
      <c r="D25" s="193">
        <v>0.52083333333333337</v>
      </c>
      <c r="E25" s="186">
        <f t="shared" si="0"/>
        <v>0.20833333333333337</v>
      </c>
      <c r="F25" s="180" t="s">
        <v>780</v>
      </c>
      <c r="G25" s="180" t="s">
        <v>781</v>
      </c>
    </row>
    <row r="26" spans="1:7" x14ac:dyDescent="0.2">
      <c r="A26" s="196">
        <v>11</v>
      </c>
      <c r="B26" s="208">
        <v>44096</v>
      </c>
      <c r="C26" s="193">
        <v>0.35416666666666669</v>
      </c>
      <c r="D26" s="193">
        <v>0.5625</v>
      </c>
      <c r="E26" s="186">
        <f t="shared" si="0"/>
        <v>0.20833333333333331</v>
      </c>
      <c r="F26" s="180" t="s">
        <v>780</v>
      </c>
      <c r="G26" s="180" t="s">
        <v>781</v>
      </c>
    </row>
    <row r="27" spans="1:7" x14ac:dyDescent="0.2">
      <c r="A27" s="196">
        <v>12</v>
      </c>
      <c r="B27" s="208">
        <v>44103</v>
      </c>
      <c r="C27" s="193">
        <v>0.3125</v>
      </c>
      <c r="D27" s="193">
        <v>0.47916666666666669</v>
      </c>
      <c r="E27" s="186">
        <f t="shared" si="0"/>
        <v>0.16666666666666669</v>
      </c>
      <c r="F27" s="180" t="s">
        <v>780</v>
      </c>
      <c r="G27" s="180" t="s">
        <v>781</v>
      </c>
    </row>
    <row r="28" spans="1:7" x14ac:dyDescent="0.2">
      <c r="A28" s="196">
        <v>13</v>
      </c>
      <c r="B28" s="208">
        <v>44105</v>
      </c>
      <c r="C28" s="193">
        <v>0.3125</v>
      </c>
      <c r="D28" s="193">
        <v>0.47916666666666669</v>
      </c>
      <c r="E28" s="186">
        <f t="shared" si="0"/>
        <v>0.16666666666666669</v>
      </c>
      <c r="F28" s="180" t="s">
        <v>780</v>
      </c>
      <c r="G28" s="180" t="s">
        <v>781</v>
      </c>
    </row>
    <row r="29" spans="1:7" x14ac:dyDescent="0.2">
      <c r="A29" s="196">
        <v>14</v>
      </c>
      <c r="B29" s="208">
        <v>44150</v>
      </c>
      <c r="C29" s="193">
        <v>0.58333333333333337</v>
      </c>
      <c r="D29" s="193">
        <v>0.83333333333333337</v>
      </c>
      <c r="E29" s="186">
        <f t="shared" si="0"/>
        <v>0.25</v>
      </c>
      <c r="F29" s="180" t="s">
        <v>783</v>
      </c>
      <c r="G29" s="180" t="s">
        <v>784</v>
      </c>
    </row>
    <row r="30" spans="1:7" x14ac:dyDescent="0.2">
      <c r="A30" s="196">
        <v>15</v>
      </c>
      <c r="B30" s="208">
        <v>44153</v>
      </c>
      <c r="C30" s="193">
        <v>0.59375</v>
      </c>
      <c r="D30" s="193">
        <v>0.80208333333333337</v>
      </c>
      <c r="E30" s="186">
        <f t="shared" si="0"/>
        <v>0.20833333333333337</v>
      </c>
      <c r="F30" s="180" t="s">
        <v>785</v>
      </c>
      <c r="G30" s="180" t="s">
        <v>786</v>
      </c>
    </row>
    <row r="31" spans="1:7" x14ac:dyDescent="0.2">
      <c r="A31" s="196">
        <v>16</v>
      </c>
      <c r="B31" s="208">
        <v>44156</v>
      </c>
      <c r="C31" s="193">
        <v>0.60416666666666663</v>
      </c>
      <c r="D31" s="193">
        <v>0.77083333333333337</v>
      </c>
      <c r="E31" s="186">
        <f t="shared" si="0"/>
        <v>0.16666666666666674</v>
      </c>
      <c r="F31" s="180" t="s">
        <v>785</v>
      </c>
      <c r="G31" s="180" t="s">
        <v>786</v>
      </c>
    </row>
    <row r="32" spans="1:7" x14ac:dyDescent="0.2">
      <c r="A32" s="196">
        <v>17</v>
      </c>
      <c r="B32" s="208">
        <v>44159</v>
      </c>
      <c r="C32" s="193">
        <v>0.60416666666666663</v>
      </c>
      <c r="D32" s="193">
        <v>0.77083333333333337</v>
      </c>
      <c r="E32" s="186">
        <f t="shared" si="0"/>
        <v>0.16666666666666674</v>
      </c>
      <c r="F32" s="180" t="s">
        <v>787</v>
      </c>
      <c r="G32" s="201" t="s">
        <v>788</v>
      </c>
    </row>
    <row r="33" spans="1:7" x14ac:dyDescent="0.2">
      <c r="A33" s="196">
        <v>18</v>
      </c>
      <c r="B33" s="208">
        <v>44160</v>
      </c>
      <c r="C33" s="193">
        <v>0.60416666666666663</v>
      </c>
      <c r="D33" s="193">
        <v>0.77083333333333337</v>
      </c>
      <c r="E33" s="186">
        <f t="shared" si="0"/>
        <v>0.16666666666666674</v>
      </c>
      <c r="F33" s="180" t="s">
        <v>787</v>
      </c>
      <c r="G33" s="201" t="s">
        <v>788</v>
      </c>
    </row>
    <row r="34" spans="1:7" x14ac:dyDescent="0.2">
      <c r="A34" s="196">
        <v>19</v>
      </c>
      <c r="B34" s="208">
        <v>44164</v>
      </c>
      <c r="C34" s="193">
        <v>0.60416666666666663</v>
      </c>
      <c r="D34" s="193">
        <v>0.8125</v>
      </c>
      <c r="E34" s="186">
        <f t="shared" si="0"/>
        <v>0.20833333333333337</v>
      </c>
      <c r="F34" s="180" t="s">
        <v>787</v>
      </c>
      <c r="G34" s="201" t="s">
        <v>788</v>
      </c>
    </row>
    <row r="35" spans="1:7" x14ac:dyDescent="0.2">
      <c r="A35" s="196">
        <v>20</v>
      </c>
      <c r="B35" s="208">
        <v>44165</v>
      </c>
      <c r="C35" s="193">
        <v>0.60416666666666663</v>
      </c>
      <c r="D35" s="193">
        <v>0.77083333333333337</v>
      </c>
      <c r="E35" s="186">
        <f t="shared" si="0"/>
        <v>0.16666666666666674</v>
      </c>
      <c r="F35" s="180" t="s">
        <v>787</v>
      </c>
      <c r="G35" s="201" t="s">
        <v>788</v>
      </c>
    </row>
    <row r="36" spans="1:7" x14ac:dyDescent="0.2">
      <c r="A36" s="196">
        <v>21</v>
      </c>
      <c r="B36" s="208">
        <v>44167</v>
      </c>
      <c r="C36" s="193">
        <v>0.4375</v>
      </c>
      <c r="D36" s="193">
        <v>0.77083333333333337</v>
      </c>
      <c r="E36" s="186">
        <f t="shared" si="0"/>
        <v>0.33333333333333337</v>
      </c>
      <c r="F36" s="180" t="s">
        <v>787</v>
      </c>
      <c r="G36" s="201" t="s">
        <v>788</v>
      </c>
    </row>
    <row r="37" spans="1:7" x14ac:dyDescent="0.2">
      <c r="A37" s="196">
        <v>22</v>
      </c>
      <c r="B37" s="208">
        <v>44168</v>
      </c>
      <c r="C37" s="193">
        <v>0.5625</v>
      </c>
      <c r="D37" s="193">
        <v>0.6875</v>
      </c>
      <c r="E37" s="186">
        <f t="shared" si="0"/>
        <v>0.125</v>
      </c>
      <c r="F37" s="180" t="s">
        <v>787</v>
      </c>
      <c r="G37" s="201" t="s">
        <v>788</v>
      </c>
    </row>
    <row r="38" spans="1:7" x14ac:dyDescent="0.2">
      <c r="A38" s="196">
        <v>23</v>
      </c>
      <c r="B38" s="208">
        <v>44174</v>
      </c>
      <c r="C38" s="193">
        <v>0.625</v>
      </c>
      <c r="D38" s="193">
        <v>0.79166666666666663</v>
      </c>
      <c r="E38" s="186">
        <f t="shared" si="0"/>
        <v>0.16666666666666663</v>
      </c>
      <c r="F38" s="180" t="s">
        <v>787</v>
      </c>
      <c r="G38" s="201" t="s">
        <v>788</v>
      </c>
    </row>
    <row r="39" spans="1:7" x14ac:dyDescent="0.2">
      <c r="A39" s="196">
        <v>24</v>
      </c>
      <c r="B39" s="208">
        <v>44176</v>
      </c>
      <c r="C39" s="193">
        <v>0.625</v>
      </c>
      <c r="D39" s="193">
        <v>0.75</v>
      </c>
      <c r="E39" s="186">
        <f t="shared" si="0"/>
        <v>0.125</v>
      </c>
      <c r="F39" s="180" t="s">
        <v>787</v>
      </c>
      <c r="G39" s="201" t="s">
        <v>788</v>
      </c>
    </row>
    <row r="40" spans="1:7" x14ac:dyDescent="0.2">
      <c r="A40" s="361">
        <v>2019</v>
      </c>
      <c r="B40" s="361"/>
      <c r="C40" s="361"/>
      <c r="D40" s="361"/>
      <c r="E40" s="361"/>
      <c r="F40" s="361"/>
      <c r="G40" s="361"/>
    </row>
    <row r="41" spans="1:7" x14ac:dyDescent="0.2">
      <c r="A41" s="196">
        <v>1</v>
      </c>
      <c r="B41" s="208">
        <v>43471</v>
      </c>
      <c r="C41" s="185">
        <v>0.60416666666666663</v>
      </c>
      <c r="D41" s="193">
        <v>0.8125</v>
      </c>
      <c r="E41" s="186">
        <f>D41-C41</f>
        <v>0.20833333333333337</v>
      </c>
      <c r="F41" s="181" t="s">
        <v>524</v>
      </c>
      <c r="G41" s="180" t="s">
        <v>748</v>
      </c>
    </row>
    <row r="42" spans="1:7" x14ac:dyDescent="0.2">
      <c r="A42" s="196">
        <v>2</v>
      </c>
      <c r="B42" s="208">
        <v>43618</v>
      </c>
      <c r="C42" s="193">
        <v>0.45833333333333331</v>
      </c>
      <c r="D42" s="193">
        <v>0.625</v>
      </c>
      <c r="E42" s="186">
        <f t="shared" ref="E42:E53" si="1">D42-C42</f>
        <v>0.16666666666666669</v>
      </c>
      <c r="F42" s="181" t="s">
        <v>524</v>
      </c>
      <c r="G42" s="180" t="s">
        <v>750</v>
      </c>
    </row>
    <row r="43" spans="1:7" x14ac:dyDescent="0.2">
      <c r="A43" s="196">
        <v>3</v>
      </c>
      <c r="B43" s="208">
        <v>43622</v>
      </c>
      <c r="C43" s="193">
        <v>0.58333333333333337</v>
      </c>
      <c r="D43" s="193">
        <v>0.91666666666666663</v>
      </c>
      <c r="E43" s="186">
        <f t="shared" si="1"/>
        <v>0.33333333333333326</v>
      </c>
      <c r="F43" s="181" t="s">
        <v>524</v>
      </c>
      <c r="G43" s="181" t="s">
        <v>751</v>
      </c>
    </row>
    <row r="44" spans="1:7" x14ac:dyDescent="0.2">
      <c r="A44" s="196">
        <v>4</v>
      </c>
      <c r="B44" s="208">
        <v>43623</v>
      </c>
      <c r="C44" s="193">
        <v>0.58333333333333337</v>
      </c>
      <c r="D44" s="193">
        <v>0.8125</v>
      </c>
      <c r="E44" s="186">
        <f t="shared" si="1"/>
        <v>0.22916666666666663</v>
      </c>
      <c r="F44" s="181" t="s">
        <v>524</v>
      </c>
      <c r="G44" s="181" t="s">
        <v>751</v>
      </c>
    </row>
    <row r="45" spans="1:7" x14ac:dyDescent="0.2">
      <c r="A45" s="196">
        <v>5</v>
      </c>
      <c r="B45" s="208">
        <v>43624</v>
      </c>
      <c r="C45" s="193">
        <v>0.58333333333333337</v>
      </c>
      <c r="D45" s="193">
        <v>0.79166666666666663</v>
      </c>
      <c r="E45" s="186">
        <f t="shared" si="1"/>
        <v>0.20833333333333326</v>
      </c>
      <c r="F45" s="181" t="s">
        <v>753</v>
      </c>
      <c r="G45" s="181" t="s">
        <v>754</v>
      </c>
    </row>
    <row r="46" spans="1:7" x14ac:dyDescent="0.2">
      <c r="A46" s="196">
        <v>6</v>
      </c>
      <c r="B46" s="208">
        <v>43626</v>
      </c>
      <c r="C46" s="193">
        <v>0.3125</v>
      </c>
      <c r="D46" s="193">
        <v>0.64583333333333337</v>
      </c>
      <c r="E46" s="186">
        <f t="shared" si="1"/>
        <v>0.33333333333333337</v>
      </c>
      <c r="F46" s="181" t="s">
        <v>755</v>
      </c>
      <c r="G46" s="181" t="s">
        <v>756</v>
      </c>
    </row>
    <row r="47" spans="1:7" x14ac:dyDescent="0.2">
      <c r="A47" s="196">
        <v>7</v>
      </c>
      <c r="B47" s="208">
        <v>43631</v>
      </c>
      <c r="C47" s="193">
        <v>0.29166666666666669</v>
      </c>
      <c r="D47" s="193">
        <v>0.5625</v>
      </c>
      <c r="E47" s="186">
        <f t="shared" si="1"/>
        <v>0.27083333333333331</v>
      </c>
      <c r="F47" s="181" t="s">
        <v>757</v>
      </c>
      <c r="G47" s="181" t="s">
        <v>758</v>
      </c>
    </row>
    <row r="48" spans="1:7" x14ac:dyDescent="0.2">
      <c r="A48" s="196">
        <v>8</v>
      </c>
      <c r="B48" s="208">
        <v>43632</v>
      </c>
      <c r="C48" s="193">
        <v>0.29166666666666669</v>
      </c>
      <c r="D48" s="193">
        <v>0.64583333333333337</v>
      </c>
      <c r="E48" s="186">
        <f t="shared" si="1"/>
        <v>0.35416666666666669</v>
      </c>
      <c r="F48" s="181" t="s">
        <v>755</v>
      </c>
      <c r="G48" s="181" t="s">
        <v>759</v>
      </c>
    </row>
    <row r="49" spans="1:7" x14ac:dyDescent="0.2">
      <c r="A49" s="196">
        <v>9</v>
      </c>
      <c r="B49" s="208">
        <v>43636</v>
      </c>
      <c r="C49" s="193">
        <v>0.79166666666666663</v>
      </c>
      <c r="D49" s="193">
        <v>0.95833333333333337</v>
      </c>
      <c r="E49" s="186">
        <f t="shared" si="1"/>
        <v>0.16666666666666674</v>
      </c>
      <c r="F49" s="181" t="s">
        <v>524</v>
      </c>
      <c r="G49" s="181" t="s">
        <v>761</v>
      </c>
    </row>
    <row r="50" spans="1:7" x14ac:dyDescent="0.2">
      <c r="A50" s="196">
        <v>10</v>
      </c>
      <c r="B50" s="208">
        <v>43639</v>
      </c>
      <c r="C50" s="193">
        <v>0.70833333333333337</v>
      </c>
      <c r="D50" s="193">
        <v>0.9375</v>
      </c>
      <c r="E50" s="186">
        <f t="shared" si="1"/>
        <v>0.22916666666666663</v>
      </c>
      <c r="F50" s="181" t="s">
        <v>524</v>
      </c>
      <c r="G50" s="181" t="s">
        <v>762</v>
      </c>
    </row>
    <row r="51" spans="1:7" x14ac:dyDescent="0.2">
      <c r="A51" s="196">
        <v>11</v>
      </c>
      <c r="B51" s="208">
        <v>43672</v>
      </c>
      <c r="C51" s="193">
        <v>0.29166666666666669</v>
      </c>
      <c r="D51" s="193">
        <v>0.54166666666666663</v>
      </c>
      <c r="E51" s="186">
        <f t="shared" si="1"/>
        <v>0.24999999999999994</v>
      </c>
      <c r="F51" s="181" t="s">
        <v>764</v>
      </c>
      <c r="G51" s="181" t="s">
        <v>765</v>
      </c>
    </row>
    <row r="52" spans="1:7" x14ac:dyDescent="0.2">
      <c r="A52" s="196">
        <v>12</v>
      </c>
      <c r="B52" s="208">
        <v>43681</v>
      </c>
      <c r="C52" s="193">
        <v>0.29166666666666669</v>
      </c>
      <c r="D52" s="193">
        <v>0.54166666666666663</v>
      </c>
      <c r="E52" s="186">
        <f t="shared" si="1"/>
        <v>0.24999999999999994</v>
      </c>
      <c r="F52" s="181" t="s">
        <v>524</v>
      </c>
      <c r="G52" s="181" t="s">
        <v>768</v>
      </c>
    </row>
    <row r="53" spans="1:7" x14ac:dyDescent="0.2">
      <c r="A53" s="196">
        <v>13</v>
      </c>
      <c r="B53" s="208">
        <v>43800</v>
      </c>
      <c r="C53" s="193">
        <v>0.29166666666666669</v>
      </c>
      <c r="D53" s="193">
        <v>0.58333333333333337</v>
      </c>
      <c r="E53" s="186">
        <f t="shared" si="1"/>
        <v>0.29166666666666669</v>
      </c>
      <c r="F53" s="181" t="s">
        <v>524</v>
      </c>
      <c r="G53" s="181" t="s">
        <v>767</v>
      </c>
    </row>
    <row r="54" spans="1:7" x14ac:dyDescent="0.2">
      <c r="A54" s="305">
        <v>2018</v>
      </c>
      <c r="B54" s="305"/>
      <c r="C54" s="305"/>
      <c r="D54" s="305"/>
      <c r="E54" s="305"/>
      <c r="F54" s="305"/>
      <c r="G54" s="305"/>
    </row>
    <row r="55" spans="1:7" x14ac:dyDescent="0.2">
      <c r="A55" s="176">
        <v>1</v>
      </c>
      <c r="B55" s="208">
        <v>43173</v>
      </c>
      <c r="C55" s="193">
        <v>0.64583333333333337</v>
      </c>
      <c r="D55" s="185">
        <v>0.14583333333333334</v>
      </c>
      <c r="E55" s="193"/>
      <c r="F55" s="181" t="s">
        <v>715</v>
      </c>
      <c r="G55" s="180" t="s">
        <v>713</v>
      </c>
    </row>
    <row r="56" spans="1:7" x14ac:dyDescent="0.2">
      <c r="A56" s="176">
        <v>2</v>
      </c>
      <c r="B56" s="208">
        <v>43183</v>
      </c>
      <c r="C56" s="193">
        <v>0.64583333333333337</v>
      </c>
      <c r="D56" s="193">
        <v>2.0833333333333332E-2</v>
      </c>
      <c r="E56" s="193"/>
      <c r="F56" s="181" t="s">
        <v>524</v>
      </c>
      <c r="G56" s="181" t="s">
        <v>716</v>
      </c>
    </row>
    <row r="57" spans="1:7" x14ac:dyDescent="0.2">
      <c r="A57" s="176">
        <v>3</v>
      </c>
      <c r="B57" s="208">
        <v>43194</v>
      </c>
      <c r="C57" s="193">
        <v>0.29166666666666669</v>
      </c>
      <c r="D57" s="193">
        <v>0.625</v>
      </c>
      <c r="E57" s="193"/>
      <c r="F57" s="181" t="s">
        <v>718</v>
      </c>
      <c r="G57" s="181" t="s">
        <v>720</v>
      </c>
    </row>
    <row r="58" spans="1:7" x14ac:dyDescent="0.2">
      <c r="A58" s="176">
        <v>4</v>
      </c>
      <c r="B58" s="208">
        <v>43245</v>
      </c>
      <c r="C58" s="193" t="s">
        <v>794</v>
      </c>
      <c r="D58" s="193">
        <v>0.95833333333333337</v>
      </c>
      <c r="E58" s="193"/>
      <c r="F58" s="181" t="s">
        <v>524</v>
      </c>
      <c r="G58" s="181" t="s">
        <v>721</v>
      </c>
    </row>
    <row r="59" spans="1:7" x14ac:dyDescent="0.2">
      <c r="A59" s="176">
        <v>5</v>
      </c>
      <c r="B59" s="208">
        <v>43247</v>
      </c>
      <c r="C59" s="193">
        <v>0.29166666666666669</v>
      </c>
      <c r="D59" s="180" t="s">
        <v>796</v>
      </c>
      <c r="E59" s="193"/>
      <c r="F59" s="181" t="s">
        <v>524</v>
      </c>
      <c r="G59" s="181" t="s">
        <v>723</v>
      </c>
    </row>
    <row r="60" spans="1:7" x14ac:dyDescent="0.2">
      <c r="A60" s="176">
        <v>6</v>
      </c>
      <c r="B60" s="208">
        <v>43271</v>
      </c>
      <c r="C60" s="193">
        <v>0.8125</v>
      </c>
      <c r="D60" s="193">
        <v>0.95833333333333337</v>
      </c>
      <c r="E60" s="193"/>
      <c r="F60" s="181" t="s">
        <v>524</v>
      </c>
      <c r="G60" s="181" t="s">
        <v>724</v>
      </c>
    </row>
    <row r="61" spans="1:7" x14ac:dyDescent="0.2">
      <c r="A61" s="176">
        <v>7</v>
      </c>
      <c r="B61" s="208">
        <v>43274</v>
      </c>
      <c r="C61" s="193">
        <v>0.66666666666666663</v>
      </c>
      <c r="D61" s="193">
        <v>0.95833333333333337</v>
      </c>
      <c r="E61" s="193"/>
      <c r="F61" s="181" t="s">
        <v>524</v>
      </c>
      <c r="G61" s="181" t="s">
        <v>690</v>
      </c>
    </row>
    <row r="62" spans="1:7" x14ac:dyDescent="0.2">
      <c r="A62" s="176">
        <v>8</v>
      </c>
      <c r="B62" s="208">
        <v>43275</v>
      </c>
      <c r="C62" s="193">
        <v>0.58333333333333337</v>
      </c>
      <c r="D62" s="180" t="s">
        <v>795</v>
      </c>
      <c r="E62" s="193"/>
      <c r="F62" s="181" t="s">
        <v>524</v>
      </c>
      <c r="G62" s="181" t="s">
        <v>726</v>
      </c>
    </row>
    <row r="63" spans="1:7" x14ac:dyDescent="0.2">
      <c r="A63" s="176">
        <v>9</v>
      </c>
      <c r="B63" s="208">
        <v>43302</v>
      </c>
      <c r="C63" s="193">
        <v>0.33333333333333331</v>
      </c>
      <c r="D63" s="193">
        <v>0.77083333333333337</v>
      </c>
      <c r="E63" s="193"/>
      <c r="F63" s="181" t="s">
        <v>727</v>
      </c>
      <c r="G63" s="181" t="s">
        <v>728</v>
      </c>
    </row>
    <row r="64" spans="1:7" x14ac:dyDescent="0.2">
      <c r="A64" s="176">
        <v>10</v>
      </c>
      <c r="B64" s="204">
        <v>43320</v>
      </c>
      <c r="C64" s="193">
        <v>0.52083333333333337</v>
      </c>
      <c r="D64" s="212">
        <v>0</v>
      </c>
      <c r="E64" s="193"/>
      <c r="F64" s="213" t="s">
        <v>731</v>
      </c>
      <c r="G64" s="214" t="s">
        <v>729</v>
      </c>
    </row>
    <row r="65" spans="1:7" x14ac:dyDescent="0.2">
      <c r="A65" s="176">
        <v>11</v>
      </c>
      <c r="B65" s="208">
        <v>43321</v>
      </c>
      <c r="C65" s="193">
        <v>0.625</v>
      </c>
      <c r="D65" s="193">
        <v>8.3333333333333329E-2</v>
      </c>
      <c r="E65" s="193"/>
      <c r="F65" s="181" t="s">
        <v>565</v>
      </c>
      <c r="G65" s="181" t="s">
        <v>729</v>
      </c>
    </row>
    <row r="66" spans="1:7" x14ac:dyDescent="0.2">
      <c r="A66" s="176">
        <v>12</v>
      </c>
      <c r="B66" s="208">
        <v>43322</v>
      </c>
      <c r="C66" s="193">
        <v>0.77083333333333337</v>
      </c>
      <c r="D66" s="193">
        <v>6.25E-2</v>
      </c>
      <c r="E66" s="193"/>
      <c r="F66" s="181" t="s">
        <v>524</v>
      </c>
      <c r="G66" s="181" t="s">
        <v>733</v>
      </c>
    </row>
    <row r="67" spans="1:7" x14ac:dyDescent="0.2">
      <c r="A67" s="176">
        <v>13</v>
      </c>
      <c r="B67" s="208">
        <v>43352</v>
      </c>
      <c r="C67" s="193">
        <v>0.29166666666666669</v>
      </c>
      <c r="D67" s="193">
        <v>0.58333333333333337</v>
      </c>
      <c r="E67" s="193"/>
      <c r="F67" s="181" t="s">
        <v>735</v>
      </c>
      <c r="G67" s="181" t="s">
        <v>736</v>
      </c>
    </row>
    <row r="68" spans="1:7" x14ac:dyDescent="0.2">
      <c r="A68" s="176">
        <v>14</v>
      </c>
      <c r="B68" s="208">
        <v>43366</v>
      </c>
      <c r="C68" s="193">
        <v>0.29166666666666669</v>
      </c>
      <c r="D68" s="193">
        <v>0.45833333333333331</v>
      </c>
      <c r="E68" s="193"/>
      <c r="F68" s="181" t="s">
        <v>737</v>
      </c>
      <c r="G68" s="181" t="s">
        <v>738</v>
      </c>
    </row>
    <row r="69" spans="1:7" x14ac:dyDescent="0.2">
      <c r="A69" s="176">
        <v>15</v>
      </c>
      <c r="B69" s="208">
        <v>43372</v>
      </c>
      <c r="C69" s="193">
        <v>0.76041666666666663</v>
      </c>
      <c r="D69" s="193">
        <v>4.1666666666666664E-2</v>
      </c>
      <c r="E69" s="193"/>
      <c r="F69" s="181" t="s">
        <v>524</v>
      </c>
      <c r="G69" s="181" t="s">
        <v>740</v>
      </c>
    </row>
    <row r="70" spans="1:7" x14ac:dyDescent="0.2">
      <c r="A70" s="176">
        <v>16</v>
      </c>
      <c r="B70" s="208">
        <v>43373</v>
      </c>
      <c r="C70" s="193">
        <v>0.76041666666666663</v>
      </c>
      <c r="D70" s="193">
        <v>4.1666666666666664E-2</v>
      </c>
      <c r="E70" s="193"/>
      <c r="F70" s="181" t="s">
        <v>524</v>
      </c>
      <c r="G70" s="181" t="s">
        <v>740</v>
      </c>
    </row>
    <row r="71" spans="1:7" x14ac:dyDescent="0.2">
      <c r="A71" s="176">
        <v>17</v>
      </c>
      <c r="B71" s="208">
        <v>43379</v>
      </c>
      <c r="C71" s="193">
        <v>0.79166666666666663</v>
      </c>
      <c r="D71" s="193">
        <v>0.95833333333333337</v>
      </c>
      <c r="E71" s="193"/>
      <c r="F71" s="181" t="s">
        <v>524</v>
      </c>
      <c r="G71" s="181" t="s">
        <v>742</v>
      </c>
    </row>
    <row r="72" spans="1:7" x14ac:dyDescent="0.2">
      <c r="A72" s="176">
        <v>18</v>
      </c>
      <c r="B72" s="208">
        <v>43438</v>
      </c>
      <c r="C72" s="193">
        <v>0.66666666666666663</v>
      </c>
      <c r="D72" s="193">
        <v>4.1666666666666664E-2</v>
      </c>
      <c r="E72" s="218"/>
      <c r="F72" s="180" t="s">
        <v>531</v>
      </c>
      <c r="G72" s="180" t="s">
        <v>793</v>
      </c>
    </row>
    <row r="73" spans="1:7" ht="12.75" customHeight="1" x14ac:dyDescent="0.2">
      <c r="A73" s="176">
        <v>19</v>
      </c>
      <c r="B73" s="208">
        <v>43439</v>
      </c>
      <c r="C73" s="193">
        <v>0.66666666666666663</v>
      </c>
      <c r="D73" s="193">
        <v>1</v>
      </c>
      <c r="E73" s="193"/>
      <c r="F73" s="180" t="s">
        <v>531</v>
      </c>
      <c r="G73" s="180" t="s">
        <v>793</v>
      </c>
    </row>
    <row r="74" spans="1:7" x14ac:dyDescent="0.2">
      <c r="A74" s="176">
        <v>20</v>
      </c>
      <c r="B74" s="208">
        <v>43440</v>
      </c>
      <c r="C74" s="193">
        <v>0.66666666666666663</v>
      </c>
      <c r="D74" s="193">
        <v>1</v>
      </c>
      <c r="E74" s="193"/>
      <c r="F74" s="180" t="s">
        <v>531</v>
      </c>
      <c r="G74" s="180" t="s">
        <v>793</v>
      </c>
    </row>
    <row r="75" spans="1:7" x14ac:dyDescent="0.2">
      <c r="A75" s="361">
        <v>2017</v>
      </c>
      <c r="B75" s="361"/>
      <c r="C75" s="361"/>
      <c r="D75" s="361"/>
      <c r="E75" s="361"/>
      <c r="F75" s="361"/>
      <c r="G75" s="361"/>
    </row>
    <row r="76" spans="1:7" x14ac:dyDescent="0.2">
      <c r="A76" s="176">
        <v>1</v>
      </c>
      <c r="B76" s="208">
        <v>42820</v>
      </c>
      <c r="C76" s="180" t="s">
        <v>373</v>
      </c>
      <c r="D76" s="193"/>
      <c r="E76" s="193"/>
      <c r="F76" s="181" t="s">
        <v>524</v>
      </c>
      <c r="G76" s="180" t="s">
        <v>525</v>
      </c>
    </row>
    <row r="77" spans="1:7" x14ac:dyDescent="0.2">
      <c r="A77" s="176">
        <v>2</v>
      </c>
      <c r="B77" s="208">
        <v>42825</v>
      </c>
      <c r="C77" s="181" t="s">
        <v>475</v>
      </c>
      <c r="D77" s="193"/>
      <c r="E77" s="193"/>
      <c r="F77" s="181" t="s">
        <v>530</v>
      </c>
      <c r="G77" s="181" t="s">
        <v>526</v>
      </c>
    </row>
    <row r="78" spans="1:7" x14ac:dyDescent="0.2">
      <c r="A78" s="176">
        <v>3</v>
      </c>
      <c r="B78" s="208">
        <v>42826</v>
      </c>
      <c r="C78" s="181" t="s">
        <v>522</v>
      </c>
      <c r="D78" s="193"/>
      <c r="E78" s="193"/>
      <c r="F78" s="181" t="s">
        <v>530</v>
      </c>
      <c r="G78" s="181" t="s">
        <v>526</v>
      </c>
    </row>
    <row r="79" spans="1:7" x14ac:dyDescent="0.2">
      <c r="A79" s="176">
        <v>4</v>
      </c>
      <c r="B79" s="208">
        <v>42827</v>
      </c>
      <c r="C79" s="181" t="s">
        <v>437</v>
      </c>
      <c r="D79" s="193"/>
      <c r="E79" s="193"/>
      <c r="F79" s="181" t="s">
        <v>524</v>
      </c>
      <c r="G79" s="181" t="s">
        <v>600</v>
      </c>
    </row>
    <row r="80" spans="1:7" x14ac:dyDescent="0.2">
      <c r="A80" s="176">
        <v>5</v>
      </c>
      <c r="B80" s="208">
        <v>42832</v>
      </c>
      <c r="C80" s="181" t="s">
        <v>523</v>
      </c>
      <c r="D80" s="193"/>
      <c r="E80" s="193"/>
      <c r="F80" s="181" t="s">
        <v>531</v>
      </c>
      <c r="G80" s="181" t="s">
        <v>528</v>
      </c>
    </row>
    <row r="81" spans="1:7" x14ac:dyDescent="0.2">
      <c r="A81" s="176">
        <v>6</v>
      </c>
      <c r="B81" s="208">
        <v>42856</v>
      </c>
      <c r="C81" s="181" t="s">
        <v>218</v>
      </c>
      <c r="D81" s="193"/>
      <c r="E81" s="193"/>
      <c r="F81" s="181" t="s">
        <v>524</v>
      </c>
      <c r="G81" s="181" t="s">
        <v>670</v>
      </c>
    </row>
    <row r="82" spans="1:7" x14ac:dyDescent="0.2">
      <c r="A82" s="176">
        <v>7</v>
      </c>
      <c r="B82" s="208">
        <v>42863</v>
      </c>
      <c r="C82" s="181" t="s">
        <v>672</v>
      </c>
      <c r="D82" s="193"/>
      <c r="E82" s="193"/>
      <c r="F82" s="181" t="s">
        <v>539</v>
      </c>
      <c r="G82" s="181" t="s">
        <v>671</v>
      </c>
    </row>
    <row r="83" spans="1:7" x14ac:dyDescent="0.2">
      <c r="A83" s="176">
        <v>8</v>
      </c>
      <c r="B83" s="208">
        <v>42867</v>
      </c>
      <c r="C83" s="181" t="s">
        <v>678</v>
      </c>
      <c r="D83" s="193"/>
      <c r="E83" s="193"/>
      <c r="F83" s="181" t="s">
        <v>524</v>
      </c>
      <c r="G83" s="181" t="s">
        <v>677</v>
      </c>
    </row>
    <row r="84" spans="1:7" x14ac:dyDescent="0.2">
      <c r="A84" s="176">
        <v>9</v>
      </c>
      <c r="B84" s="208">
        <v>42869</v>
      </c>
      <c r="C84" s="181" t="s">
        <v>312</v>
      </c>
      <c r="D84" s="193"/>
      <c r="E84" s="193"/>
      <c r="F84" s="181" t="s">
        <v>524</v>
      </c>
      <c r="G84" s="181" t="s">
        <v>673</v>
      </c>
    </row>
    <row r="85" spans="1:7" x14ac:dyDescent="0.2">
      <c r="A85" s="176">
        <v>10</v>
      </c>
      <c r="B85" s="208">
        <v>42873</v>
      </c>
      <c r="C85" s="181" t="s">
        <v>674</v>
      </c>
      <c r="D85" s="193"/>
      <c r="E85" s="193"/>
      <c r="F85" s="181" t="s">
        <v>524</v>
      </c>
      <c r="G85" s="181" t="s">
        <v>684</v>
      </c>
    </row>
    <row r="86" spans="1:7" x14ac:dyDescent="0.2">
      <c r="A86" s="176">
        <v>11</v>
      </c>
      <c r="B86" s="208">
        <v>42875</v>
      </c>
      <c r="C86" s="181" t="s">
        <v>676</v>
      </c>
      <c r="D86" s="193"/>
      <c r="E86" s="193"/>
      <c r="F86" s="181" t="s">
        <v>625</v>
      </c>
      <c r="G86" s="181" t="s">
        <v>675</v>
      </c>
    </row>
    <row r="87" spans="1:7" x14ac:dyDescent="0.2">
      <c r="A87" s="176">
        <v>12</v>
      </c>
      <c r="B87" s="208">
        <v>42876</v>
      </c>
      <c r="C87" s="181" t="s">
        <v>303</v>
      </c>
      <c r="D87" s="193"/>
      <c r="E87" s="193"/>
      <c r="F87" s="181" t="s">
        <v>625</v>
      </c>
      <c r="G87" s="181" t="s">
        <v>675</v>
      </c>
    </row>
    <row r="88" spans="1:7" x14ac:dyDescent="0.2">
      <c r="A88" s="176">
        <v>13</v>
      </c>
      <c r="B88" s="208">
        <v>42879</v>
      </c>
      <c r="C88" s="181" t="s">
        <v>680</v>
      </c>
      <c r="D88" s="193"/>
      <c r="E88" s="193"/>
      <c r="F88" s="181" t="s">
        <v>524</v>
      </c>
      <c r="G88" s="181" t="s">
        <v>679</v>
      </c>
    </row>
    <row r="89" spans="1:7" x14ac:dyDescent="0.2">
      <c r="A89" s="176">
        <v>14</v>
      </c>
      <c r="B89" s="208">
        <v>42880</v>
      </c>
      <c r="C89" s="181" t="s">
        <v>682</v>
      </c>
      <c r="D89" s="193"/>
      <c r="E89" s="193"/>
      <c r="F89" s="181" t="s">
        <v>524</v>
      </c>
      <c r="G89" s="181" t="s">
        <v>681</v>
      </c>
    </row>
    <row r="90" spans="1:7" x14ac:dyDescent="0.2">
      <c r="A90" s="176">
        <v>15</v>
      </c>
      <c r="B90" s="208">
        <v>42883</v>
      </c>
      <c r="C90" s="181" t="s">
        <v>324</v>
      </c>
      <c r="D90" s="193"/>
      <c r="E90" s="193"/>
      <c r="F90" s="181" t="s">
        <v>524</v>
      </c>
      <c r="G90" s="181" t="s">
        <v>683</v>
      </c>
    </row>
    <row r="91" spans="1:7" x14ac:dyDescent="0.2">
      <c r="A91" s="176">
        <v>16</v>
      </c>
      <c r="B91" s="208">
        <v>42893</v>
      </c>
      <c r="C91" s="181" t="s">
        <v>686</v>
      </c>
      <c r="D91" s="193"/>
      <c r="E91" s="193"/>
      <c r="F91" s="181" t="s">
        <v>524</v>
      </c>
      <c r="G91" s="181" t="s">
        <v>685</v>
      </c>
    </row>
    <row r="92" spans="1:7" x14ac:dyDescent="0.2">
      <c r="A92" s="176">
        <v>17</v>
      </c>
      <c r="B92" s="208">
        <v>42894</v>
      </c>
      <c r="C92" s="181" t="s">
        <v>686</v>
      </c>
      <c r="D92" s="193"/>
      <c r="E92" s="193"/>
      <c r="F92" s="181" t="s">
        <v>524</v>
      </c>
      <c r="G92" s="181" t="s">
        <v>685</v>
      </c>
    </row>
    <row r="93" spans="1:7" x14ac:dyDescent="0.2">
      <c r="A93" s="176">
        <v>18</v>
      </c>
      <c r="B93" s="208">
        <v>42895</v>
      </c>
      <c r="C93" s="181" t="s">
        <v>686</v>
      </c>
      <c r="D93" s="193"/>
      <c r="E93" s="193"/>
      <c r="F93" s="181" t="s">
        <v>524</v>
      </c>
      <c r="G93" s="181" t="s">
        <v>685</v>
      </c>
    </row>
    <row r="94" spans="1:7" x14ac:dyDescent="0.2">
      <c r="A94" s="176">
        <v>19</v>
      </c>
      <c r="B94" s="208">
        <v>42896</v>
      </c>
      <c r="C94" s="181" t="s">
        <v>51</v>
      </c>
      <c r="D94" s="193"/>
      <c r="E94" s="193"/>
      <c r="F94" s="181" t="s">
        <v>524</v>
      </c>
      <c r="G94" s="181" t="s">
        <v>687</v>
      </c>
    </row>
    <row r="95" spans="1:7" x14ac:dyDescent="0.2">
      <c r="A95" s="176">
        <v>20</v>
      </c>
      <c r="B95" s="208">
        <v>42906</v>
      </c>
      <c r="C95" s="180" t="s">
        <v>689</v>
      </c>
      <c r="D95" s="193"/>
      <c r="E95" s="193"/>
      <c r="F95" s="181" t="s">
        <v>524</v>
      </c>
      <c r="G95" s="180" t="s">
        <v>688</v>
      </c>
    </row>
    <row r="96" spans="1:7" x14ac:dyDescent="0.2">
      <c r="A96" s="176">
        <v>21</v>
      </c>
      <c r="B96" s="208">
        <v>42909</v>
      </c>
      <c r="C96" s="180" t="s">
        <v>691</v>
      </c>
      <c r="D96" s="193"/>
      <c r="E96" s="193"/>
      <c r="F96" s="181" t="s">
        <v>524</v>
      </c>
      <c r="G96" s="180" t="s">
        <v>690</v>
      </c>
    </row>
    <row r="97" spans="1:8" x14ac:dyDescent="0.2">
      <c r="A97" s="176">
        <v>22</v>
      </c>
      <c r="B97" s="208">
        <v>43008</v>
      </c>
      <c r="C97" s="180" t="s">
        <v>693</v>
      </c>
      <c r="D97" s="193"/>
      <c r="E97" s="193"/>
      <c r="F97" s="181" t="s">
        <v>524</v>
      </c>
      <c r="G97" s="180" t="s">
        <v>692</v>
      </c>
    </row>
    <row r="98" spans="1:8" x14ac:dyDescent="0.2">
      <c r="A98" s="176">
        <v>23</v>
      </c>
      <c r="B98" s="208">
        <v>43023</v>
      </c>
      <c r="C98" s="180" t="s">
        <v>695</v>
      </c>
      <c r="D98" s="193"/>
      <c r="E98" s="193"/>
      <c r="F98" s="181" t="s">
        <v>524</v>
      </c>
      <c r="G98" s="180" t="s">
        <v>694</v>
      </c>
    </row>
    <row r="99" spans="1:8" x14ac:dyDescent="0.2">
      <c r="A99" s="176">
        <v>24</v>
      </c>
      <c r="B99" s="208">
        <v>43030</v>
      </c>
      <c r="C99" s="180" t="s">
        <v>697</v>
      </c>
      <c r="D99" s="193"/>
      <c r="E99" s="193"/>
      <c r="F99" s="181" t="s">
        <v>524</v>
      </c>
      <c r="G99" s="180" t="s">
        <v>696</v>
      </c>
    </row>
    <row r="100" spans="1:8" x14ac:dyDescent="0.2">
      <c r="A100" s="176">
        <v>25</v>
      </c>
      <c r="B100" s="208">
        <v>43035</v>
      </c>
      <c r="C100" s="180" t="s">
        <v>440</v>
      </c>
      <c r="D100" s="193"/>
      <c r="E100" s="193"/>
      <c r="F100" s="181" t="s">
        <v>524</v>
      </c>
      <c r="G100" s="180" t="s">
        <v>698</v>
      </c>
    </row>
    <row r="101" spans="1:8" x14ac:dyDescent="0.2">
      <c r="A101" s="176">
        <v>26</v>
      </c>
      <c r="B101" s="208">
        <v>43036</v>
      </c>
      <c r="C101" s="180" t="s">
        <v>109</v>
      </c>
      <c r="D101" s="193"/>
      <c r="E101" s="193"/>
      <c r="F101" s="181" t="s">
        <v>524</v>
      </c>
      <c r="G101" s="180" t="s">
        <v>699</v>
      </c>
    </row>
    <row r="102" spans="1:8" x14ac:dyDescent="0.2">
      <c r="A102" s="176">
        <v>27</v>
      </c>
      <c r="B102" s="208">
        <v>43036</v>
      </c>
      <c r="C102" s="180" t="s">
        <v>702</v>
      </c>
      <c r="D102" s="193"/>
      <c r="E102" s="193"/>
      <c r="F102" s="181" t="s">
        <v>700</v>
      </c>
      <c r="G102" s="180" t="s">
        <v>701</v>
      </c>
    </row>
    <row r="103" spans="1:8" x14ac:dyDescent="0.2">
      <c r="A103" s="176">
        <v>28</v>
      </c>
      <c r="B103" s="208">
        <v>43037</v>
      </c>
      <c r="C103" s="180" t="s">
        <v>704</v>
      </c>
      <c r="D103" s="193"/>
      <c r="E103" s="193"/>
      <c r="F103" s="181" t="s">
        <v>524</v>
      </c>
      <c r="G103" s="180" t="s">
        <v>703</v>
      </c>
    </row>
    <row r="104" spans="1:8" x14ac:dyDescent="0.2">
      <c r="A104" s="176">
        <v>29</v>
      </c>
      <c r="B104" s="208">
        <v>43038</v>
      </c>
      <c r="C104" s="180" t="s">
        <v>706</v>
      </c>
      <c r="D104" s="193"/>
      <c r="E104" s="193"/>
      <c r="F104" s="181" t="s">
        <v>524</v>
      </c>
      <c r="G104" s="180" t="s">
        <v>705</v>
      </c>
    </row>
    <row r="105" spans="1:8" x14ac:dyDescent="0.2">
      <c r="A105" s="176">
        <v>30</v>
      </c>
      <c r="B105" s="208">
        <v>43039</v>
      </c>
      <c r="C105" s="180" t="s">
        <v>707</v>
      </c>
      <c r="D105" s="193"/>
      <c r="E105" s="193"/>
      <c r="F105" s="181" t="s">
        <v>524</v>
      </c>
      <c r="G105" s="180" t="s">
        <v>705</v>
      </c>
    </row>
    <row r="106" spans="1:8" x14ac:dyDescent="0.2">
      <c r="A106" s="176">
        <v>31</v>
      </c>
      <c r="B106" s="208">
        <v>43039</v>
      </c>
      <c r="C106" s="180" t="s">
        <v>709</v>
      </c>
      <c r="D106" s="193"/>
      <c r="E106" s="193"/>
      <c r="F106" s="181" t="s">
        <v>708</v>
      </c>
      <c r="G106" s="180" t="s">
        <v>710</v>
      </c>
    </row>
    <row r="107" spans="1:8" x14ac:dyDescent="0.2">
      <c r="A107" s="176">
        <v>32</v>
      </c>
      <c r="B107" s="208">
        <v>43041</v>
      </c>
      <c r="C107" s="180" t="s">
        <v>451</v>
      </c>
      <c r="D107" s="193"/>
      <c r="E107" s="193"/>
      <c r="F107" s="181" t="s">
        <v>524</v>
      </c>
      <c r="G107" s="180" t="s">
        <v>711</v>
      </c>
    </row>
    <row r="108" spans="1:8" x14ac:dyDescent="0.2">
      <c r="A108" s="366">
        <v>2016</v>
      </c>
      <c r="B108" s="367"/>
      <c r="C108" s="367"/>
      <c r="D108" s="367"/>
      <c r="E108" s="367"/>
      <c r="F108" s="367"/>
      <c r="G108" s="368"/>
    </row>
    <row r="109" spans="1:8" x14ac:dyDescent="0.2">
      <c r="A109" s="215">
        <v>1</v>
      </c>
      <c r="B109" s="207">
        <v>42421</v>
      </c>
      <c r="C109" s="180" t="s">
        <v>480</v>
      </c>
      <c r="D109" s="180"/>
      <c r="E109" s="193"/>
      <c r="F109" s="180" t="s">
        <v>532</v>
      </c>
      <c r="G109" s="180" t="s">
        <v>540</v>
      </c>
      <c r="H109" s="146"/>
    </row>
    <row r="110" spans="1:8" x14ac:dyDescent="0.2">
      <c r="A110" s="215">
        <v>2</v>
      </c>
      <c r="B110" s="207">
        <v>42424</v>
      </c>
      <c r="C110" s="180" t="s">
        <v>482</v>
      </c>
      <c r="D110" s="180"/>
      <c r="E110" s="193"/>
      <c r="F110" s="180" t="s">
        <v>524</v>
      </c>
      <c r="G110" s="180" t="s">
        <v>541</v>
      </c>
      <c r="H110" s="146"/>
    </row>
    <row r="111" spans="1:8" x14ac:dyDescent="0.2">
      <c r="A111" s="215">
        <v>3</v>
      </c>
      <c r="B111" s="207">
        <v>42462</v>
      </c>
      <c r="C111" s="180" t="s">
        <v>400</v>
      </c>
      <c r="D111" s="180"/>
      <c r="E111" s="193"/>
      <c r="F111" s="180" t="s">
        <v>524</v>
      </c>
      <c r="G111" s="180" t="s">
        <v>542</v>
      </c>
      <c r="H111" s="146"/>
    </row>
    <row r="112" spans="1:8" x14ac:dyDescent="0.2">
      <c r="A112" s="215">
        <v>4</v>
      </c>
      <c r="B112" s="207">
        <v>42463</v>
      </c>
      <c r="C112" s="180" t="s">
        <v>485</v>
      </c>
      <c r="D112" s="180"/>
      <c r="E112" s="193"/>
      <c r="F112" s="180" t="s">
        <v>524</v>
      </c>
      <c r="G112" s="180" t="s">
        <v>527</v>
      </c>
      <c r="H112" s="146"/>
    </row>
    <row r="113" spans="1:8" x14ac:dyDescent="0.2">
      <c r="A113" s="215">
        <v>5</v>
      </c>
      <c r="B113" s="207">
        <v>42473</v>
      </c>
      <c r="C113" s="180" t="s">
        <v>211</v>
      </c>
      <c r="D113" s="180"/>
      <c r="E113" s="193"/>
      <c r="F113" s="180" t="s">
        <v>533</v>
      </c>
      <c r="G113" s="180" t="s">
        <v>543</v>
      </c>
      <c r="H113" s="146"/>
    </row>
    <row r="114" spans="1:8" x14ac:dyDescent="0.2">
      <c r="A114" s="215">
        <v>6</v>
      </c>
      <c r="B114" s="207">
        <v>42476</v>
      </c>
      <c r="C114" s="180" t="s">
        <v>64</v>
      </c>
      <c r="D114" s="180"/>
      <c r="E114" s="193"/>
      <c r="F114" s="180" t="s">
        <v>524</v>
      </c>
      <c r="G114" s="180" t="s">
        <v>544</v>
      </c>
      <c r="H114" s="146"/>
    </row>
    <row r="115" spans="1:8" x14ac:dyDescent="0.2">
      <c r="A115" s="215">
        <v>7</v>
      </c>
      <c r="B115" s="207">
        <v>42491</v>
      </c>
      <c r="C115" s="180" t="s">
        <v>383</v>
      </c>
      <c r="D115" s="180"/>
      <c r="E115" s="193"/>
      <c r="F115" s="180" t="s">
        <v>524</v>
      </c>
      <c r="G115" s="180" t="s">
        <v>545</v>
      </c>
      <c r="H115" s="146"/>
    </row>
    <row r="116" spans="1:8" x14ac:dyDescent="0.2">
      <c r="A116" s="215">
        <v>8</v>
      </c>
      <c r="B116" s="228">
        <v>42498</v>
      </c>
      <c r="C116" s="180" t="s">
        <v>437</v>
      </c>
      <c r="D116" s="180"/>
      <c r="E116" s="193"/>
      <c r="F116" s="180" t="s">
        <v>538</v>
      </c>
      <c r="G116" s="180" t="s">
        <v>546</v>
      </c>
      <c r="H116" s="146"/>
    </row>
    <row r="117" spans="1:8" x14ac:dyDescent="0.2">
      <c r="A117" s="215">
        <v>9</v>
      </c>
      <c r="B117" s="228">
        <v>42498</v>
      </c>
      <c r="C117" s="180" t="s">
        <v>491</v>
      </c>
      <c r="D117" s="180"/>
      <c r="E117" s="193"/>
      <c r="F117" s="180" t="s">
        <v>539</v>
      </c>
      <c r="G117" s="180" t="s">
        <v>547</v>
      </c>
      <c r="H117" s="146"/>
    </row>
    <row r="118" spans="1:8" x14ac:dyDescent="0.2">
      <c r="A118" s="215">
        <v>10</v>
      </c>
      <c r="B118" s="207">
        <v>42501</v>
      </c>
      <c r="C118" s="180" t="s">
        <v>493</v>
      </c>
      <c r="D118" s="180"/>
      <c r="E118" s="193"/>
      <c r="F118" s="180" t="s">
        <v>534</v>
      </c>
      <c r="G118" s="180" t="s">
        <v>548</v>
      </c>
      <c r="H118" s="146"/>
    </row>
    <row r="119" spans="1:8" x14ac:dyDescent="0.2">
      <c r="A119" s="215">
        <v>11</v>
      </c>
      <c r="B119" s="207">
        <v>42503</v>
      </c>
      <c r="C119" s="180" t="s">
        <v>495</v>
      </c>
      <c r="D119" s="180"/>
      <c r="E119" s="193"/>
      <c r="F119" s="180" t="s">
        <v>535</v>
      </c>
      <c r="G119" s="180" t="s">
        <v>549</v>
      </c>
      <c r="H119" s="146"/>
    </row>
    <row r="120" spans="1:8" x14ac:dyDescent="0.2">
      <c r="A120" s="215">
        <v>12</v>
      </c>
      <c r="B120" s="207">
        <v>42504</v>
      </c>
      <c r="C120" s="180" t="s">
        <v>37</v>
      </c>
      <c r="D120" s="180"/>
      <c r="E120" s="193"/>
      <c r="F120" s="180" t="s">
        <v>535</v>
      </c>
      <c r="G120" s="180" t="s">
        <v>549</v>
      </c>
      <c r="H120" s="146"/>
    </row>
    <row r="121" spans="1:8" x14ac:dyDescent="0.2">
      <c r="A121" s="215">
        <v>13</v>
      </c>
      <c r="B121" s="207">
        <v>42505</v>
      </c>
      <c r="C121" s="180" t="s">
        <v>496</v>
      </c>
      <c r="D121" s="180"/>
      <c r="E121" s="193"/>
      <c r="F121" s="180" t="s">
        <v>535</v>
      </c>
      <c r="G121" s="180" t="s">
        <v>549</v>
      </c>
      <c r="H121" s="146"/>
    </row>
    <row r="122" spans="1:8" x14ac:dyDescent="0.2">
      <c r="A122" s="215">
        <v>14</v>
      </c>
      <c r="B122" s="207">
        <v>42523</v>
      </c>
      <c r="C122" s="180" t="s">
        <v>500</v>
      </c>
      <c r="D122" s="180"/>
      <c r="E122" s="193"/>
      <c r="F122" s="180" t="s">
        <v>537</v>
      </c>
      <c r="G122" s="180" t="s">
        <v>550</v>
      </c>
      <c r="H122" s="146"/>
    </row>
    <row r="123" spans="1:8" x14ac:dyDescent="0.2">
      <c r="A123" s="215">
        <v>15</v>
      </c>
      <c r="B123" s="207">
        <v>42524</v>
      </c>
      <c r="C123" s="180" t="s">
        <v>500</v>
      </c>
      <c r="D123" s="180"/>
      <c r="E123" s="193"/>
      <c r="F123" s="180" t="s">
        <v>537</v>
      </c>
      <c r="G123" s="180" t="s">
        <v>550</v>
      </c>
      <c r="H123" s="146"/>
    </row>
    <row r="124" spans="1:8" x14ac:dyDescent="0.2">
      <c r="A124" s="215">
        <v>16</v>
      </c>
      <c r="B124" s="207">
        <v>42526</v>
      </c>
      <c r="C124" s="180" t="s">
        <v>501</v>
      </c>
      <c r="D124" s="180"/>
      <c r="E124" s="193"/>
      <c r="F124" s="180" t="s">
        <v>537</v>
      </c>
      <c r="G124" s="180" t="s">
        <v>550</v>
      </c>
      <c r="H124" s="146"/>
    </row>
    <row r="125" spans="1:8" x14ac:dyDescent="0.2">
      <c r="A125" s="215">
        <v>17</v>
      </c>
      <c r="B125" s="207">
        <v>42536</v>
      </c>
      <c r="C125" s="180" t="s">
        <v>498</v>
      </c>
      <c r="D125" s="180"/>
      <c r="E125" s="193"/>
      <c r="F125" s="180" t="s">
        <v>536</v>
      </c>
      <c r="G125" s="180" t="s">
        <v>551</v>
      </c>
      <c r="H125" s="146"/>
    </row>
    <row r="126" spans="1:8" x14ac:dyDescent="0.2">
      <c r="A126" s="215">
        <v>18</v>
      </c>
      <c r="B126" s="207">
        <v>42540</v>
      </c>
      <c r="C126" s="180" t="s">
        <v>503</v>
      </c>
      <c r="D126" s="180"/>
      <c r="E126" s="193"/>
      <c r="F126" s="180" t="s">
        <v>552</v>
      </c>
      <c r="G126" s="180" t="s">
        <v>553</v>
      </c>
      <c r="H126" s="146"/>
    </row>
    <row r="127" spans="1:8" x14ac:dyDescent="0.2">
      <c r="A127" s="215">
        <v>19</v>
      </c>
      <c r="B127" s="207">
        <v>42541</v>
      </c>
      <c r="C127" s="180" t="s">
        <v>15</v>
      </c>
      <c r="D127" s="180"/>
      <c r="E127" s="193"/>
      <c r="F127" s="180" t="s">
        <v>524</v>
      </c>
      <c r="G127" s="180" t="s">
        <v>554</v>
      </c>
      <c r="H127" s="146"/>
    </row>
    <row r="128" spans="1:8" x14ac:dyDescent="0.2">
      <c r="A128" s="215">
        <v>20</v>
      </c>
      <c r="B128" s="207">
        <v>42544</v>
      </c>
      <c r="C128" s="180" t="s">
        <v>137</v>
      </c>
      <c r="D128" s="180"/>
      <c r="E128" s="193"/>
      <c r="F128" s="180" t="s">
        <v>524</v>
      </c>
      <c r="G128" s="180" t="s">
        <v>555</v>
      </c>
      <c r="H128" s="146"/>
    </row>
    <row r="129" spans="1:8" x14ac:dyDescent="0.2">
      <c r="A129" s="215">
        <v>21</v>
      </c>
      <c r="B129" s="207">
        <v>42553</v>
      </c>
      <c r="C129" s="180" t="s">
        <v>449</v>
      </c>
      <c r="D129" s="180"/>
      <c r="E129" s="193"/>
      <c r="F129" s="180" t="s">
        <v>524</v>
      </c>
      <c r="G129" s="180" t="s">
        <v>556</v>
      </c>
      <c r="H129" s="146"/>
    </row>
    <row r="130" spans="1:8" x14ac:dyDescent="0.2">
      <c r="A130" s="215">
        <v>22</v>
      </c>
      <c r="B130" s="228">
        <v>42554</v>
      </c>
      <c r="C130" s="180" t="s">
        <v>64</v>
      </c>
      <c r="D130" s="180"/>
      <c r="E130" s="193"/>
      <c r="F130" s="180" t="s">
        <v>524</v>
      </c>
      <c r="G130" s="180" t="s">
        <v>557</v>
      </c>
      <c r="H130" s="146"/>
    </row>
    <row r="131" spans="1:8" x14ac:dyDescent="0.2">
      <c r="A131" s="215">
        <v>23</v>
      </c>
      <c r="B131" s="228">
        <v>42554</v>
      </c>
      <c r="C131" s="180" t="s">
        <v>508</v>
      </c>
      <c r="D131" s="180"/>
      <c r="E131" s="193"/>
      <c r="F131" s="180" t="s">
        <v>524</v>
      </c>
      <c r="G131" s="180" t="s">
        <v>556</v>
      </c>
      <c r="H131" s="146"/>
    </row>
    <row r="132" spans="1:8" x14ac:dyDescent="0.2">
      <c r="A132" s="215">
        <v>24</v>
      </c>
      <c r="B132" s="207">
        <v>42555</v>
      </c>
      <c r="C132" s="180" t="s">
        <v>510</v>
      </c>
      <c r="D132" s="180"/>
      <c r="E132" s="193"/>
      <c r="F132" s="180" t="s">
        <v>524</v>
      </c>
      <c r="G132" s="180" t="s">
        <v>558</v>
      </c>
      <c r="H132" s="146"/>
    </row>
    <row r="133" spans="1:8" x14ac:dyDescent="0.2">
      <c r="A133" s="215">
        <v>25</v>
      </c>
      <c r="B133" s="207">
        <v>42574</v>
      </c>
      <c r="C133" s="180" t="s">
        <v>512</v>
      </c>
      <c r="D133" s="180"/>
      <c r="E133" s="193"/>
      <c r="F133" s="180" t="s">
        <v>524</v>
      </c>
      <c r="G133" s="180" t="s">
        <v>559</v>
      </c>
      <c r="H133" s="146"/>
    </row>
    <row r="134" spans="1:8" x14ac:dyDescent="0.2">
      <c r="A134" s="215">
        <v>26</v>
      </c>
      <c r="B134" s="207">
        <v>42583</v>
      </c>
      <c r="C134" s="180" t="s">
        <v>514</v>
      </c>
      <c r="D134" s="180"/>
      <c r="E134" s="193"/>
      <c r="F134" s="180" t="s">
        <v>524</v>
      </c>
      <c r="G134" s="215" t="s">
        <v>560</v>
      </c>
      <c r="H134" s="146"/>
    </row>
    <row r="135" spans="1:8" x14ac:dyDescent="0.2">
      <c r="A135" s="215">
        <v>27</v>
      </c>
      <c r="B135" s="207">
        <v>42584</v>
      </c>
      <c r="C135" s="180" t="s">
        <v>467</v>
      </c>
      <c r="D135" s="180"/>
      <c r="E135" s="193"/>
      <c r="F135" s="180" t="s">
        <v>524</v>
      </c>
      <c r="G135" s="215" t="s">
        <v>560</v>
      </c>
      <c r="H135" s="146"/>
    </row>
    <row r="136" spans="1:8" x14ac:dyDescent="0.2">
      <c r="A136" s="215">
        <v>28</v>
      </c>
      <c r="B136" s="207">
        <v>42613</v>
      </c>
      <c r="C136" s="180" t="s">
        <v>516</v>
      </c>
      <c r="D136" s="180"/>
      <c r="E136" s="193"/>
      <c r="F136" s="180" t="s">
        <v>530</v>
      </c>
      <c r="G136" s="180" t="s">
        <v>561</v>
      </c>
      <c r="H136" s="146"/>
    </row>
    <row r="137" spans="1:8" x14ac:dyDescent="0.2">
      <c r="A137" s="215">
        <v>29</v>
      </c>
      <c r="B137" s="207">
        <v>42624</v>
      </c>
      <c r="C137" s="180" t="s">
        <v>451</v>
      </c>
      <c r="D137" s="217"/>
      <c r="E137" s="193"/>
      <c r="F137" s="216" t="s">
        <v>563</v>
      </c>
      <c r="G137" s="180" t="s">
        <v>562</v>
      </c>
      <c r="H137" s="146"/>
    </row>
    <row r="138" spans="1:8" x14ac:dyDescent="0.2">
      <c r="A138" s="215">
        <v>30</v>
      </c>
      <c r="B138" s="207">
        <v>42637</v>
      </c>
      <c r="C138" s="180" t="s">
        <v>469</v>
      </c>
      <c r="D138" s="217"/>
      <c r="E138" s="193"/>
      <c r="F138" s="216" t="s">
        <v>524</v>
      </c>
      <c r="G138" s="180" t="s">
        <v>564</v>
      </c>
      <c r="H138" s="146"/>
    </row>
    <row r="139" spans="1:8" x14ac:dyDescent="0.2">
      <c r="A139" s="354">
        <v>2015</v>
      </c>
      <c r="B139" s="354"/>
      <c r="C139" s="354"/>
      <c r="D139" s="354"/>
      <c r="E139" s="354"/>
      <c r="F139" s="354"/>
      <c r="G139" s="354"/>
      <c r="H139" s="146"/>
    </row>
    <row r="140" spans="1:8" x14ac:dyDescent="0.2">
      <c r="A140" s="176">
        <v>1</v>
      </c>
      <c r="B140" s="208">
        <v>42009</v>
      </c>
      <c r="C140" s="180" t="s">
        <v>458</v>
      </c>
      <c r="D140" s="208"/>
      <c r="E140" s="193"/>
      <c r="F140" s="208" t="s">
        <v>565</v>
      </c>
      <c r="G140" s="180" t="s">
        <v>566</v>
      </c>
    </row>
    <row r="141" spans="1:8" x14ac:dyDescent="0.2">
      <c r="A141" s="176">
        <v>2</v>
      </c>
      <c r="B141" s="208">
        <v>42049</v>
      </c>
      <c r="C141" s="181" t="s">
        <v>373</v>
      </c>
      <c r="D141" s="208"/>
      <c r="E141" s="193"/>
      <c r="F141" s="208" t="s">
        <v>524</v>
      </c>
      <c r="G141" s="181" t="s">
        <v>456</v>
      </c>
    </row>
    <row r="142" spans="1:8" x14ac:dyDescent="0.2">
      <c r="A142" s="176">
        <v>3</v>
      </c>
      <c r="B142" s="208">
        <v>42092</v>
      </c>
      <c r="C142" s="181" t="s">
        <v>373</v>
      </c>
      <c r="D142" s="208"/>
      <c r="E142" s="193"/>
      <c r="F142" s="208" t="s">
        <v>524</v>
      </c>
      <c r="G142" s="181" t="s">
        <v>567</v>
      </c>
    </row>
    <row r="143" spans="1:8" x14ac:dyDescent="0.2">
      <c r="A143" s="176">
        <v>4</v>
      </c>
      <c r="B143" s="208">
        <v>42094</v>
      </c>
      <c r="C143" s="181" t="s">
        <v>218</v>
      </c>
      <c r="D143" s="208"/>
      <c r="E143" s="193"/>
      <c r="F143" s="208" t="s">
        <v>524</v>
      </c>
      <c r="G143" s="181" t="s">
        <v>568</v>
      </c>
    </row>
    <row r="144" spans="1:8" x14ac:dyDescent="0.2">
      <c r="A144" s="176">
        <v>5</v>
      </c>
      <c r="B144" s="208">
        <v>42097</v>
      </c>
      <c r="C144" s="181" t="s">
        <v>34</v>
      </c>
      <c r="D144" s="208"/>
      <c r="E144" s="193"/>
      <c r="F144" s="208" t="s">
        <v>524</v>
      </c>
      <c r="G144" s="181" t="s">
        <v>569</v>
      </c>
    </row>
    <row r="145" spans="1:7" x14ac:dyDescent="0.2">
      <c r="A145" s="176">
        <v>6</v>
      </c>
      <c r="B145" s="208">
        <v>42106</v>
      </c>
      <c r="C145" s="181" t="s">
        <v>218</v>
      </c>
      <c r="D145" s="208"/>
      <c r="E145" s="193"/>
      <c r="F145" s="208" t="s">
        <v>524</v>
      </c>
      <c r="G145" s="181" t="s">
        <v>570</v>
      </c>
    </row>
    <row r="146" spans="1:7" x14ac:dyDescent="0.2">
      <c r="A146" s="176">
        <v>7</v>
      </c>
      <c r="B146" s="208">
        <v>42119</v>
      </c>
      <c r="C146" s="181" t="s">
        <v>464</v>
      </c>
      <c r="D146" s="208"/>
      <c r="E146" s="193"/>
      <c r="F146" s="208" t="s">
        <v>524</v>
      </c>
      <c r="G146" s="181" t="s">
        <v>571</v>
      </c>
    </row>
    <row r="147" spans="1:7" x14ac:dyDescent="0.2">
      <c r="A147" s="176">
        <v>8</v>
      </c>
      <c r="B147" s="208">
        <v>42126</v>
      </c>
      <c r="C147" s="181" t="s">
        <v>400</v>
      </c>
      <c r="D147" s="208"/>
      <c r="E147" s="193"/>
      <c r="F147" s="208" t="s">
        <v>524</v>
      </c>
      <c r="G147" s="181" t="s">
        <v>572</v>
      </c>
    </row>
    <row r="148" spans="1:7" x14ac:dyDescent="0.2">
      <c r="A148" s="176">
        <v>9</v>
      </c>
      <c r="B148" s="208">
        <v>42133</v>
      </c>
      <c r="C148" s="181" t="s">
        <v>467</v>
      </c>
      <c r="D148" s="208"/>
      <c r="E148" s="193"/>
      <c r="F148" s="208" t="s">
        <v>524</v>
      </c>
      <c r="G148" s="181" t="s">
        <v>573</v>
      </c>
    </row>
    <row r="149" spans="1:7" x14ac:dyDescent="0.2">
      <c r="A149" s="176">
        <v>10</v>
      </c>
      <c r="B149" s="208">
        <v>42138</v>
      </c>
      <c r="C149" s="181" t="s">
        <v>400</v>
      </c>
      <c r="D149" s="208"/>
      <c r="E149" s="193"/>
      <c r="F149" s="208" t="s">
        <v>524</v>
      </c>
      <c r="G149" s="181" t="s">
        <v>572</v>
      </c>
    </row>
    <row r="150" spans="1:7" x14ac:dyDescent="0.2">
      <c r="A150" s="176">
        <v>11</v>
      </c>
      <c r="B150" s="208">
        <v>42157</v>
      </c>
      <c r="C150" s="180" t="s">
        <v>469</v>
      </c>
      <c r="D150" s="208"/>
      <c r="E150" s="193"/>
      <c r="F150" s="208" t="s">
        <v>524</v>
      </c>
      <c r="G150" s="180" t="s">
        <v>574</v>
      </c>
    </row>
    <row r="151" spans="1:7" x14ac:dyDescent="0.2">
      <c r="A151" s="176">
        <v>12</v>
      </c>
      <c r="B151" s="208">
        <v>42160</v>
      </c>
      <c r="C151" s="180" t="s">
        <v>471</v>
      </c>
      <c r="D151" s="208"/>
      <c r="E151" s="193"/>
      <c r="F151" s="208" t="s">
        <v>524</v>
      </c>
      <c r="G151" s="180" t="s">
        <v>575</v>
      </c>
    </row>
    <row r="152" spans="1:7" x14ac:dyDescent="0.2">
      <c r="A152" s="176">
        <v>13</v>
      </c>
      <c r="B152" s="208">
        <v>42174</v>
      </c>
      <c r="C152" s="180" t="s">
        <v>473</v>
      </c>
      <c r="D152" s="208"/>
      <c r="E152" s="193"/>
      <c r="F152" s="208" t="s">
        <v>524</v>
      </c>
      <c r="G152" s="180" t="s">
        <v>576</v>
      </c>
    </row>
    <row r="153" spans="1:7" x14ac:dyDescent="0.2">
      <c r="A153" s="176">
        <v>14</v>
      </c>
      <c r="B153" s="208">
        <v>42176</v>
      </c>
      <c r="C153" s="180" t="s">
        <v>475</v>
      </c>
      <c r="D153" s="208"/>
      <c r="E153" s="193"/>
      <c r="F153" s="208" t="s">
        <v>524</v>
      </c>
      <c r="G153" s="180" t="s">
        <v>577</v>
      </c>
    </row>
    <row r="154" spans="1:7" x14ac:dyDescent="0.2">
      <c r="A154" s="176">
        <v>15</v>
      </c>
      <c r="B154" s="208">
        <v>42177</v>
      </c>
      <c r="C154" s="180" t="s">
        <v>56</v>
      </c>
      <c r="D154" s="208"/>
      <c r="E154" s="193"/>
      <c r="F154" s="208" t="s">
        <v>524</v>
      </c>
      <c r="G154" s="180" t="s">
        <v>577</v>
      </c>
    </row>
    <row r="155" spans="1:7" x14ac:dyDescent="0.2">
      <c r="A155" s="176">
        <v>16</v>
      </c>
      <c r="B155" s="208">
        <v>42236</v>
      </c>
      <c r="C155" s="181" t="s">
        <v>449</v>
      </c>
      <c r="D155" s="208"/>
      <c r="E155" s="193"/>
      <c r="F155" s="208" t="s">
        <v>524</v>
      </c>
      <c r="G155" s="181" t="s">
        <v>578</v>
      </c>
    </row>
    <row r="156" spans="1:7" x14ac:dyDescent="0.2">
      <c r="A156" s="176">
        <v>17</v>
      </c>
      <c r="B156" s="208">
        <v>42284</v>
      </c>
      <c r="C156" s="181" t="s">
        <v>92</v>
      </c>
      <c r="D156" s="208"/>
      <c r="E156" s="193"/>
      <c r="F156" s="208" t="s">
        <v>524</v>
      </c>
      <c r="G156" s="181" t="s">
        <v>579</v>
      </c>
    </row>
    <row r="157" spans="1:7" x14ac:dyDescent="0.2">
      <c r="A157" s="176">
        <v>18</v>
      </c>
      <c r="B157" s="208">
        <v>42287</v>
      </c>
      <c r="C157" s="181" t="s">
        <v>400</v>
      </c>
      <c r="D157" s="208"/>
      <c r="E157" s="193"/>
      <c r="F157" s="208" t="s">
        <v>524</v>
      </c>
      <c r="G157" s="181" t="s">
        <v>579</v>
      </c>
    </row>
    <row r="158" spans="1:7" x14ac:dyDescent="0.2">
      <c r="A158" s="176">
        <v>19</v>
      </c>
      <c r="B158" s="208">
        <v>42288</v>
      </c>
      <c r="C158" s="181" t="s">
        <v>400</v>
      </c>
      <c r="D158" s="208"/>
      <c r="E158" s="193"/>
      <c r="F158" s="208" t="s">
        <v>524</v>
      </c>
      <c r="G158" s="181" t="s">
        <v>579</v>
      </c>
    </row>
    <row r="159" spans="1:7" x14ac:dyDescent="0.2">
      <c r="A159" s="176">
        <v>20</v>
      </c>
      <c r="B159" s="208">
        <v>42301</v>
      </c>
      <c r="C159" s="181" t="s">
        <v>451</v>
      </c>
      <c r="D159" s="208"/>
      <c r="E159" s="193"/>
      <c r="F159" s="208" t="s">
        <v>524</v>
      </c>
      <c r="G159" s="181" t="s">
        <v>580</v>
      </c>
    </row>
    <row r="160" spans="1:7" x14ac:dyDescent="0.2">
      <c r="A160" s="355">
        <v>2014</v>
      </c>
      <c r="B160" s="356"/>
      <c r="C160" s="356"/>
      <c r="D160" s="356"/>
      <c r="E160" s="356"/>
      <c r="F160" s="356"/>
      <c r="G160" s="357"/>
    </row>
    <row r="161" spans="1:7" x14ac:dyDescent="0.2">
      <c r="A161" s="210">
        <v>1</v>
      </c>
      <c r="B161" s="208">
        <v>41647</v>
      </c>
      <c r="C161" s="210" t="s">
        <v>427</v>
      </c>
      <c r="D161" s="181"/>
      <c r="E161" s="193"/>
      <c r="F161" s="181" t="s">
        <v>524</v>
      </c>
      <c r="G161" s="181" t="s">
        <v>426</v>
      </c>
    </row>
    <row r="162" spans="1:7" x14ac:dyDescent="0.2">
      <c r="A162" s="210">
        <v>2</v>
      </c>
      <c r="B162" s="208">
        <v>41668</v>
      </c>
      <c r="C162" s="210" t="s">
        <v>428</v>
      </c>
      <c r="D162" s="210"/>
      <c r="E162" s="193"/>
      <c r="F162" s="181" t="s">
        <v>524</v>
      </c>
      <c r="G162" s="181" t="s">
        <v>454</v>
      </c>
    </row>
    <row r="163" spans="1:7" x14ac:dyDescent="0.2">
      <c r="A163" s="210">
        <v>3</v>
      </c>
      <c r="B163" s="208">
        <v>41673</v>
      </c>
      <c r="C163" s="210" t="s">
        <v>295</v>
      </c>
      <c r="D163" s="210"/>
      <c r="E163" s="193"/>
      <c r="F163" s="181" t="s">
        <v>524</v>
      </c>
      <c r="G163" s="181" t="s">
        <v>429</v>
      </c>
    </row>
    <row r="164" spans="1:7" x14ac:dyDescent="0.2">
      <c r="A164" s="210">
        <v>4</v>
      </c>
      <c r="B164" s="208">
        <v>41706</v>
      </c>
      <c r="C164" s="210" t="s">
        <v>434</v>
      </c>
      <c r="D164" s="210"/>
      <c r="E164" s="193"/>
      <c r="F164" s="181" t="s">
        <v>524</v>
      </c>
      <c r="G164" s="181" t="s">
        <v>581</v>
      </c>
    </row>
    <row r="165" spans="1:7" x14ac:dyDescent="0.2">
      <c r="A165" s="210">
        <v>5</v>
      </c>
      <c r="B165" s="208">
        <v>41754</v>
      </c>
      <c r="C165" s="210" t="s">
        <v>324</v>
      </c>
      <c r="D165" s="210"/>
      <c r="E165" s="193"/>
      <c r="F165" s="181" t="s">
        <v>524</v>
      </c>
      <c r="G165" s="181" t="s">
        <v>430</v>
      </c>
    </row>
    <row r="166" spans="1:7" x14ac:dyDescent="0.2">
      <c r="A166" s="210">
        <v>6</v>
      </c>
      <c r="B166" s="208">
        <v>41754</v>
      </c>
      <c r="C166" s="210" t="s">
        <v>432</v>
      </c>
      <c r="D166" s="210"/>
      <c r="E166" s="193"/>
      <c r="F166" s="181" t="s">
        <v>524</v>
      </c>
      <c r="G166" s="181" t="s">
        <v>431</v>
      </c>
    </row>
    <row r="167" spans="1:7" x14ac:dyDescent="0.2">
      <c r="A167" s="210">
        <v>7</v>
      </c>
      <c r="B167" s="208">
        <v>41755</v>
      </c>
      <c r="C167" s="210" t="s">
        <v>432</v>
      </c>
      <c r="D167" s="210"/>
      <c r="E167" s="193"/>
      <c r="F167" s="181" t="s">
        <v>524</v>
      </c>
      <c r="G167" s="181" t="s">
        <v>431</v>
      </c>
    </row>
    <row r="168" spans="1:7" x14ac:dyDescent="0.2">
      <c r="A168" s="210">
        <v>8</v>
      </c>
      <c r="B168" s="208">
        <v>41756</v>
      </c>
      <c r="C168" s="210" t="s">
        <v>432</v>
      </c>
      <c r="D168" s="210"/>
      <c r="E168" s="193"/>
      <c r="F168" s="181" t="s">
        <v>524</v>
      </c>
      <c r="G168" s="181" t="s">
        <v>431</v>
      </c>
    </row>
    <row r="169" spans="1:7" x14ac:dyDescent="0.2">
      <c r="A169" s="210">
        <v>9</v>
      </c>
      <c r="B169" s="208">
        <v>41783</v>
      </c>
      <c r="C169" s="210" t="s">
        <v>400</v>
      </c>
      <c r="D169" s="181"/>
      <c r="E169" s="193"/>
      <c r="F169" s="181" t="s">
        <v>524</v>
      </c>
      <c r="G169" s="180" t="s">
        <v>592</v>
      </c>
    </row>
    <row r="170" spans="1:7" x14ac:dyDescent="0.2">
      <c r="A170" s="210">
        <v>10</v>
      </c>
      <c r="B170" s="207">
        <v>41799</v>
      </c>
      <c r="C170" s="210" t="s">
        <v>437</v>
      </c>
      <c r="D170" s="210"/>
      <c r="E170" s="193"/>
      <c r="F170" s="181" t="s">
        <v>524</v>
      </c>
      <c r="G170" s="181" t="s">
        <v>582</v>
      </c>
    </row>
    <row r="171" spans="1:7" x14ac:dyDescent="0.2">
      <c r="A171" s="210">
        <v>11</v>
      </c>
      <c r="B171" s="207">
        <v>41810</v>
      </c>
      <c r="C171" s="210" t="s">
        <v>34</v>
      </c>
      <c r="D171" s="210"/>
      <c r="E171" s="193"/>
      <c r="F171" s="181" t="s">
        <v>524</v>
      </c>
      <c r="G171" s="180" t="s">
        <v>593</v>
      </c>
    </row>
    <row r="172" spans="1:7" x14ac:dyDescent="0.2">
      <c r="A172" s="210">
        <v>12</v>
      </c>
      <c r="B172" s="207">
        <v>41813</v>
      </c>
      <c r="C172" s="210" t="s">
        <v>438</v>
      </c>
      <c r="D172" s="210"/>
      <c r="E172" s="193"/>
      <c r="F172" s="181" t="s">
        <v>524</v>
      </c>
      <c r="G172" s="181" t="s">
        <v>583</v>
      </c>
    </row>
    <row r="173" spans="1:7" x14ac:dyDescent="0.2">
      <c r="A173" s="210">
        <v>13</v>
      </c>
      <c r="B173" s="207">
        <v>41833</v>
      </c>
      <c r="C173" s="210" t="s">
        <v>440</v>
      </c>
      <c r="D173" s="210"/>
      <c r="E173" s="193"/>
      <c r="F173" s="181" t="s">
        <v>524</v>
      </c>
      <c r="G173" s="181" t="s">
        <v>584</v>
      </c>
    </row>
    <row r="174" spans="1:7" x14ac:dyDescent="0.2">
      <c r="A174" s="210">
        <v>14</v>
      </c>
      <c r="B174" s="207">
        <v>41834</v>
      </c>
      <c r="C174" s="210" t="s">
        <v>442</v>
      </c>
      <c r="D174" s="210"/>
      <c r="E174" s="193"/>
      <c r="F174" s="181" t="s">
        <v>524</v>
      </c>
      <c r="G174" s="181" t="s">
        <v>585</v>
      </c>
    </row>
    <row r="175" spans="1:7" x14ac:dyDescent="0.2">
      <c r="A175" s="210">
        <v>15</v>
      </c>
      <c r="B175" s="207">
        <v>41916</v>
      </c>
      <c r="C175" s="210" t="s">
        <v>64</v>
      </c>
      <c r="D175" s="210"/>
      <c r="E175" s="193"/>
      <c r="F175" s="196" t="s">
        <v>586</v>
      </c>
      <c r="G175" s="181" t="s">
        <v>589</v>
      </c>
    </row>
    <row r="176" spans="1:7" x14ac:dyDescent="0.2">
      <c r="A176" s="210">
        <v>16</v>
      </c>
      <c r="B176" s="207">
        <v>41924</v>
      </c>
      <c r="C176" s="210" t="s">
        <v>445</v>
      </c>
      <c r="D176" s="210"/>
      <c r="E176" s="193"/>
      <c r="F176" s="181" t="s">
        <v>524</v>
      </c>
      <c r="G176" s="181" t="s">
        <v>444</v>
      </c>
    </row>
    <row r="177" spans="1:8" x14ac:dyDescent="0.2">
      <c r="A177" s="210">
        <v>17</v>
      </c>
      <c r="B177" s="207">
        <v>41929</v>
      </c>
      <c r="C177" s="210" t="s">
        <v>447</v>
      </c>
      <c r="D177" s="210"/>
      <c r="E177" s="193"/>
      <c r="F177" s="220" t="s">
        <v>587</v>
      </c>
      <c r="G177" s="181" t="s">
        <v>588</v>
      </c>
    </row>
    <row r="178" spans="1:8" x14ac:dyDescent="0.2">
      <c r="A178" s="210">
        <v>18</v>
      </c>
      <c r="B178" s="207">
        <v>41931</v>
      </c>
      <c r="C178" s="210" t="s">
        <v>449</v>
      </c>
      <c r="D178" s="210"/>
      <c r="E178" s="193"/>
      <c r="F178" s="181" t="s">
        <v>524</v>
      </c>
      <c r="G178" s="181" t="s">
        <v>590</v>
      </c>
    </row>
    <row r="179" spans="1:8" x14ac:dyDescent="0.2">
      <c r="A179" s="210">
        <v>19</v>
      </c>
      <c r="B179" s="207">
        <v>41937</v>
      </c>
      <c r="C179" s="210" t="s">
        <v>420</v>
      </c>
      <c r="D179" s="210"/>
      <c r="E179" s="193"/>
      <c r="F179" s="181" t="s">
        <v>524</v>
      </c>
      <c r="G179" s="181" t="s">
        <v>580</v>
      </c>
    </row>
    <row r="180" spans="1:8" x14ac:dyDescent="0.2">
      <c r="A180" s="210">
        <v>20</v>
      </c>
      <c r="B180" s="207">
        <v>41943</v>
      </c>
      <c r="C180" s="210" t="s">
        <v>420</v>
      </c>
      <c r="D180" s="210"/>
      <c r="E180" s="193"/>
      <c r="F180" s="181" t="s">
        <v>524</v>
      </c>
      <c r="G180" s="181" t="s">
        <v>580</v>
      </c>
    </row>
    <row r="181" spans="1:8" x14ac:dyDescent="0.2">
      <c r="A181" s="210">
        <v>21</v>
      </c>
      <c r="B181" s="207">
        <v>41945</v>
      </c>
      <c r="C181" s="210" t="s">
        <v>451</v>
      </c>
      <c r="D181" s="210"/>
      <c r="E181" s="193"/>
      <c r="F181" s="181" t="s">
        <v>524</v>
      </c>
      <c r="G181" s="181" t="s">
        <v>580</v>
      </c>
    </row>
    <row r="182" spans="1:8" x14ac:dyDescent="0.2">
      <c r="A182" s="210">
        <v>22</v>
      </c>
      <c r="B182" s="207">
        <v>41987</v>
      </c>
      <c r="C182" s="210" t="s">
        <v>452</v>
      </c>
      <c r="D182" s="210"/>
      <c r="E182" s="193"/>
      <c r="F182" s="181" t="s">
        <v>524</v>
      </c>
      <c r="G182" s="181" t="s">
        <v>591</v>
      </c>
    </row>
    <row r="183" spans="1:8" x14ac:dyDescent="0.2">
      <c r="A183" s="358">
        <v>2013</v>
      </c>
      <c r="B183" s="328"/>
      <c r="C183" s="328"/>
      <c r="D183" s="328"/>
      <c r="E183" s="328"/>
      <c r="F183" s="328"/>
      <c r="G183" s="359"/>
    </row>
    <row r="184" spans="1:8" x14ac:dyDescent="0.2">
      <c r="A184" s="210">
        <v>1</v>
      </c>
      <c r="B184" s="219">
        <v>41349</v>
      </c>
      <c r="C184" s="210" t="s">
        <v>375</v>
      </c>
      <c r="D184" s="210"/>
      <c r="E184" s="193"/>
      <c r="F184" s="210" t="s">
        <v>524</v>
      </c>
      <c r="G184" s="210" t="s">
        <v>598</v>
      </c>
      <c r="H184" s="155"/>
    </row>
    <row r="185" spans="1:8" x14ac:dyDescent="0.2">
      <c r="A185" s="210">
        <v>2</v>
      </c>
      <c r="B185" s="219">
        <v>41350</v>
      </c>
      <c r="C185" s="210" t="s">
        <v>377</v>
      </c>
      <c r="D185" s="210" t="s">
        <v>139</v>
      </c>
      <c r="E185" s="193"/>
      <c r="F185" s="210" t="s">
        <v>524</v>
      </c>
      <c r="G185" s="210" t="s">
        <v>599</v>
      </c>
      <c r="H185" s="155"/>
    </row>
    <row r="186" spans="1:8" x14ac:dyDescent="0.2">
      <c r="A186" s="210">
        <v>3</v>
      </c>
      <c r="B186" s="219">
        <v>41357</v>
      </c>
      <c r="C186" s="210" t="s">
        <v>232</v>
      </c>
      <c r="D186" s="210" t="s">
        <v>139</v>
      </c>
      <c r="E186" s="193"/>
      <c r="F186" s="210" t="s">
        <v>524</v>
      </c>
      <c r="G186" s="210" t="s">
        <v>600</v>
      </c>
      <c r="H186" s="155"/>
    </row>
    <row r="187" spans="1:8" x14ac:dyDescent="0.2">
      <c r="A187" s="210">
        <v>4</v>
      </c>
      <c r="B187" s="219">
        <v>41384</v>
      </c>
      <c r="C187" s="210" t="s">
        <v>381</v>
      </c>
      <c r="D187" s="210" t="s">
        <v>139</v>
      </c>
      <c r="E187" s="193"/>
      <c r="F187" s="210" t="s">
        <v>524</v>
      </c>
      <c r="G187" s="210" t="s">
        <v>601</v>
      </c>
      <c r="H187" s="155"/>
    </row>
    <row r="188" spans="1:8" x14ac:dyDescent="0.2">
      <c r="A188" s="210">
        <v>5</v>
      </c>
      <c r="B188" s="219">
        <v>41395</v>
      </c>
      <c r="C188" s="210" t="s">
        <v>383</v>
      </c>
      <c r="D188" s="210" t="s">
        <v>139</v>
      </c>
      <c r="E188" s="193"/>
      <c r="F188" s="210" t="s">
        <v>524</v>
      </c>
      <c r="G188" s="210" t="s">
        <v>602</v>
      </c>
      <c r="H188" s="155"/>
    </row>
    <row r="189" spans="1:8" x14ac:dyDescent="0.2">
      <c r="A189" s="210">
        <v>6</v>
      </c>
      <c r="B189" s="219">
        <v>41412</v>
      </c>
      <c r="C189" s="210" t="s">
        <v>385</v>
      </c>
      <c r="D189" s="210" t="s">
        <v>139</v>
      </c>
      <c r="E189" s="193"/>
      <c r="F189" s="196" t="s">
        <v>594</v>
      </c>
      <c r="G189" s="210" t="s">
        <v>603</v>
      </c>
      <c r="H189" s="155"/>
    </row>
    <row r="190" spans="1:8" x14ac:dyDescent="0.2">
      <c r="A190" s="210">
        <v>7</v>
      </c>
      <c r="B190" s="219">
        <v>41418</v>
      </c>
      <c r="C190" s="210" t="s">
        <v>386</v>
      </c>
      <c r="D190" s="210" t="s">
        <v>139</v>
      </c>
      <c r="E190" s="193"/>
      <c r="F190" s="210" t="s">
        <v>524</v>
      </c>
      <c r="G190" s="210" t="s">
        <v>176</v>
      </c>
      <c r="H190" s="155"/>
    </row>
    <row r="191" spans="1:8" x14ac:dyDescent="0.2">
      <c r="A191" s="210">
        <v>8</v>
      </c>
      <c r="B191" s="219">
        <v>41420</v>
      </c>
      <c r="C191" s="210" t="s">
        <v>388</v>
      </c>
      <c r="D191" s="210" t="s">
        <v>139</v>
      </c>
      <c r="E191" s="193"/>
      <c r="F191" s="210" t="s">
        <v>595</v>
      </c>
      <c r="G191" s="210" t="s">
        <v>604</v>
      </c>
      <c r="H191" s="155"/>
    </row>
    <row r="192" spans="1:8" x14ac:dyDescent="0.2">
      <c r="A192" s="210">
        <v>9</v>
      </c>
      <c r="B192" s="219">
        <v>41429</v>
      </c>
      <c r="C192" s="210" t="s">
        <v>390</v>
      </c>
      <c r="D192" s="210"/>
      <c r="E192" s="193"/>
      <c r="F192" s="210" t="s">
        <v>524</v>
      </c>
      <c r="G192" s="210" t="s">
        <v>605</v>
      </c>
      <c r="H192" s="155"/>
    </row>
    <row r="193" spans="1:8" x14ac:dyDescent="0.2">
      <c r="A193" s="210">
        <v>10</v>
      </c>
      <c r="B193" s="219">
        <v>41430</v>
      </c>
      <c r="C193" s="210" t="s">
        <v>218</v>
      </c>
      <c r="D193" s="210" t="s">
        <v>139</v>
      </c>
      <c r="E193" s="193"/>
      <c r="F193" s="210" t="s">
        <v>524</v>
      </c>
      <c r="G193" s="210" t="s">
        <v>606</v>
      </c>
      <c r="H193" s="155"/>
    </row>
    <row r="194" spans="1:8" x14ac:dyDescent="0.2">
      <c r="A194" s="210">
        <v>11</v>
      </c>
      <c r="B194" s="219">
        <v>41442</v>
      </c>
      <c r="C194" s="210" t="s">
        <v>393</v>
      </c>
      <c r="D194" s="210" t="s">
        <v>139</v>
      </c>
      <c r="E194" s="193"/>
      <c r="F194" s="210" t="s">
        <v>524</v>
      </c>
      <c r="G194" s="210" t="s">
        <v>607</v>
      </c>
      <c r="H194" s="155"/>
    </row>
    <row r="195" spans="1:8" x14ac:dyDescent="0.2">
      <c r="A195" s="210">
        <v>12</v>
      </c>
      <c r="B195" s="219">
        <v>41445</v>
      </c>
      <c r="C195" s="210" t="s">
        <v>43</v>
      </c>
      <c r="D195" s="210" t="s">
        <v>244</v>
      </c>
      <c r="E195" s="193"/>
      <c r="F195" s="210" t="s">
        <v>524</v>
      </c>
      <c r="G195" s="210" t="s">
        <v>185</v>
      </c>
      <c r="H195" s="155"/>
    </row>
    <row r="196" spans="1:8" x14ac:dyDescent="0.2">
      <c r="A196" s="210">
        <v>13</v>
      </c>
      <c r="B196" s="219">
        <v>41448</v>
      </c>
      <c r="C196" s="210" t="s">
        <v>396</v>
      </c>
      <c r="D196" s="210" t="s">
        <v>244</v>
      </c>
      <c r="E196" s="193"/>
      <c r="F196" s="196" t="s">
        <v>563</v>
      </c>
      <c r="G196" s="210" t="s">
        <v>608</v>
      </c>
      <c r="H196" s="155"/>
    </row>
    <row r="197" spans="1:8" x14ac:dyDescent="0.2">
      <c r="A197" s="210">
        <v>14</v>
      </c>
      <c r="B197" s="219">
        <v>41448</v>
      </c>
      <c r="C197" s="210" t="s">
        <v>397</v>
      </c>
      <c r="D197" s="210" t="s">
        <v>244</v>
      </c>
      <c r="E197" s="193"/>
      <c r="F197" s="210" t="s">
        <v>524</v>
      </c>
      <c r="G197" s="210" t="s">
        <v>583</v>
      </c>
      <c r="H197" s="155"/>
    </row>
    <row r="198" spans="1:8" x14ac:dyDescent="0.2">
      <c r="A198" s="210">
        <v>15</v>
      </c>
      <c r="B198" s="219">
        <v>41489</v>
      </c>
      <c r="C198" s="210" t="s">
        <v>399</v>
      </c>
      <c r="D198" s="210" t="s">
        <v>244</v>
      </c>
      <c r="E198" s="193"/>
      <c r="F198" s="210" t="s">
        <v>524</v>
      </c>
      <c r="G198" s="210" t="s">
        <v>609</v>
      </c>
      <c r="H198" s="155"/>
    </row>
    <row r="199" spans="1:8" x14ac:dyDescent="0.2">
      <c r="A199" s="210">
        <v>16</v>
      </c>
      <c r="B199" s="219">
        <v>41490</v>
      </c>
      <c r="C199" s="210" t="s">
        <v>400</v>
      </c>
      <c r="D199" s="210" t="s">
        <v>244</v>
      </c>
      <c r="E199" s="193"/>
      <c r="F199" s="210" t="s">
        <v>524</v>
      </c>
      <c r="G199" s="210" t="s">
        <v>609</v>
      </c>
      <c r="H199" s="155"/>
    </row>
    <row r="200" spans="1:8" x14ac:dyDescent="0.2">
      <c r="A200" s="210">
        <v>17</v>
      </c>
      <c r="B200" s="219">
        <v>41491</v>
      </c>
      <c r="C200" s="210" t="s">
        <v>401</v>
      </c>
      <c r="D200" s="210" t="s">
        <v>244</v>
      </c>
      <c r="E200" s="193"/>
      <c r="F200" s="210" t="s">
        <v>524</v>
      </c>
      <c r="G200" s="210" t="s">
        <v>609</v>
      </c>
      <c r="H200" s="155"/>
    </row>
    <row r="201" spans="1:8" x14ac:dyDescent="0.2">
      <c r="A201" s="210">
        <v>18</v>
      </c>
      <c r="B201" s="219">
        <v>41492</v>
      </c>
      <c r="C201" s="210" t="s">
        <v>402</v>
      </c>
      <c r="D201" s="210" t="s">
        <v>244</v>
      </c>
      <c r="E201" s="193"/>
      <c r="F201" s="210" t="s">
        <v>524</v>
      </c>
      <c r="G201" s="210" t="s">
        <v>609</v>
      </c>
      <c r="H201" s="155"/>
    </row>
    <row r="202" spans="1:8" x14ac:dyDescent="0.2">
      <c r="A202" s="210">
        <v>19</v>
      </c>
      <c r="B202" s="219">
        <v>41494</v>
      </c>
      <c r="C202" s="210" t="s">
        <v>403</v>
      </c>
      <c r="D202" s="210" t="s">
        <v>244</v>
      </c>
      <c r="E202" s="193"/>
      <c r="F202" s="210" t="s">
        <v>524</v>
      </c>
      <c r="G202" s="210" t="s">
        <v>609</v>
      </c>
      <c r="H202" s="155"/>
    </row>
    <row r="203" spans="1:8" x14ac:dyDescent="0.2">
      <c r="A203" s="210">
        <v>20</v>
      </c>
      <c r="B203" s="219">
        <v>41495</v>
      </c>
      <c r="C203" s="210" t="s">
        <v>404</v>
      </c>
      <c r="D203" s="210" t="s">
        <v>244</v>
      </c>
      <c r="E203" s="193"/>
      <c r="F203" s="210" t="s">
        <v>524</v>
      </c>
      <c r="G203" s="210" t="s">
        <v>609</v>
      </c>
      <c r="H203" s="155"/>
    </row>
    <row r="204" spans="1:8" x14ac:dyDescent="0.2">
      <c r="A204" s="210">
        <v>21</v>
      </c>
      <c r="B204" s="219">
        <v>41496</v>
      </c>
      <c r="C204" s="210" t="s">
        <v>405</v>
      </c>
      <c r="D204" s="210" t="s">
        <v>244</v>
      </c>
      <c r="E204" s="193"/>
      <c r="F204" s="210" t="s">
        <v>524</v>
      </c>
      <c r="G204" s="210" t="s">
        <v>609</v>
      </c>
      <c r="H204" s="155"/>
    </row>
    <row r="205" spans="1:8" x14ac:dyDescent="0.2">
      <c r="A205" s="210">
        <v>22</v>
      </c>
      <c r="B205" s="219">
        <v>41497</v>
      </c>
      <c r="C205" s="210" t="s">
        <v>404</v>
      </c>
      <c r="D205" s="210" t="s">
        <v>244</v>
      </c>
      <c r="E205" s="193"/>
      <c r="F205" s="210" t="s">
        <v>524</v>
      </c>
      <c r="G205" s="210" t="s">
        <v>609</v>
      </c>
      <c r="H205" s="155"/>
    </row>
    <row r="206" spans="1:8" x14ac:dyDescent="0.2">
      <c r="A206" s="210">
        <v>23</v>
      </c>
      <c r="B206" s="219">
        <v>41497</v>
      </c>
      <c r="C206" s="210" t="s">
        <v>406</v>
      </c>
      <c r="D206" s="210" t="s">
        <v>244</v>
      </c>
      <c r="E206" s="193"/>
      <c r="F206" s="210" t="s">
        <v>524</v>
      </c>
      <c r="G206" s="210" t="s">
        <v>609</v>
      </c>
      <c r="H206" s="155"/>
    </row>
    <row r="207" spans="1:8" x14ac:dyDescent="0.2">
      <c r="A207" s="210">
        <v>24</v>
      </c>
      <c r="B207" s="219">
        <v>41516</v>
      </c>
      <c r="C207" s="210" t="s">
        <v>408</v>
      </c>
      <c r="D207" s="210"/>
      <c r="E207" s="193"/>
      <c r="F207" s="221" t="s">
        <v>596</v>
      </c>
      <c r="G207" s="210" t="s">
        <v>597</v>
      </c>
      <c r="H207" s="155"/>
    </row>
    <row r="208" spans="1:8" x14ac:dyDescent="0.2">
      <c r="A208" s="210">
        <v>25</v>
      </c>
      <c r="B208" s="219">
        <v>41523</v>
      </c>
      <c r="C208" s="210" t="s">
        <v>410</v>
      </c>
      <c r="D208" s="210"/>
      <c r="E208" s="193"/>
      <c r="F208" s="221" t="s">
        <v>539</v>
      </c>
      <c r="G208" s="210" t="s">
        <v>409</v>
      </c>
      <c r="H208" s="155"/>
    </row>
    <row r="209" spans="1:8" x14ac:dyDescent="0.2">
      <c r="A209" s="210">
        <v>26</v>
      </c>
      <c r="B209" s="219">
        <v>41533</v>
      </c>
      <c r="C209" s="210" t="s">
        <v>30</v>
      </c>
      <c r="D209" s="210"/>
      <c r="E209" s="193"/>
      <c r="F209" s="221" t="s">
        <v>524</v>
      </c>
      <c r="G209" s="210" t="s">
        <v>411</v>
      </c>
      <c r="H209" s="155"/>
    </row>
    <row r="210" spans="1:8" x14ac:dyDescent="0.2">
      <c r="A210" s="210">
        <v>27</v>
      </c>
      <c r="B210" s="219">
        <v>41538</v>
      </c>
      <c r="C210" s="210" t="s">
        <v>412</v>
      </c>
      <c r="D210" s="210"/>
      <c r="E210" s="193"/>
      <c r="F210" s="221" t="s">
        <v>610</v>
      </c>
      <c r="G210" s="210" t="s">
        <v>413</v>
      </c>
      <c r="H210" s="155"/>
    </row>
    <row r="211" spans="1:8" x14ac:dyDescent="0.2">
      <c r="A211" s="210">
        <v>28</v>
      </c>
      <c r="B211" s="219">
        <v>41546</v>
      </c>
      <c r="C211" s="210" t="s">
        <v>367</v>
      </c>
      <c r="D211" s="210" t="s">
        <v>139</v>
      </c>
      <c r="E211" s="193"/>
      <c r="F211" s="221" t="s">
        <v>524</v>
      </c>
      <c r="G211" s="210" t="s">
        <v>364</v>
      </c>
      <c r="H211" s="155"/>
    </row>
    <row r="212" spans="1:8" x14ac:dyDescent="0.2">
      <c r="A212" s="210">
        <v>29</v>
      </c>
      <c r="B212" s="219">
        <v>41553</v>
      </c>
      <c r="C212" s="210" t="s">
        <v>414</v>
      </c>
      <c r="D212" s="210" t="s">
        <v>139</v>
      </c>
      <c r="E212" s="193"/>
      <c r="F212" s="221" t="s">
        <v>524</v>
      </c>
      <c r="G212" s="210" t="s">
        <v>364</v>
      </c>
      <c r="H212" s="155"/>
    </row>
    <row r="213" spans="1:8" x14ac:dyDescent="0.2">
      <c r="A213" s="210">
        <v>30</v>
      </c>
      <c r="B213" s="219">
        <v>41558</v>
      </c>
      <c r="C213" s="210" t="s">
        <v>104</v>
      </c>
      <c r="D213" s="210" t="s">
        <v>139</v>
      </c>
      <c r="E213" s="193"/>
      <c r="F213" s="221" t="s">
        <v>539</v>
      </c>
      <c r="G213" s="210" t="s">
        <v>415</v>
      </c>
      <c r="H213" s="155"/>
    </row>
    <row r="214" spans="1:8" x14ac:dyDescent="0.2">
      <c r="A214" s="210">
        <v>31</v>
      </c>
      <c r="B214" s="219">
        <v>41560</v>
      </c>
      <c r="C214" s="210" t="s">
        <v>383</v>
      </c>
      <c r="D214" s="210" t="s">
        <v>139</v>
      </c>
      <c r="E214" s="193"/>
      <c r="F214" s="221" t="s">
        <v>611</v>
      </c>
      <c r="G214" s="210" t="s">
        <v>416</v>
      </c>
      <c r="H214" s="155"/>
    </row>
    <row r="215" spans="1:8" x14ac:dyDescent="0.2">
      <c r="A215" s="210">
        <v>32</v>
      </c>
      <c r="B215" s="219">
        <v>41560</v>
      </c>
      <c r="C215" s="210" t="s">
        <v>417</v>
      </c>
      <c r="D215" s="210" t="s">
        <v>139</v>
      </c>
      <c r="E215" s="193"/>
      <c r="F215" s="221" t="s">
        <v>524</v>
      </c>
      <c r="G215" s="210" t="s">
        <v>364</v>
      </c>
      <c r="H215" s="155"/>
    </row>
    <row r="216" spans="1:8" x14ac:dyDescent="0.2">
      <c r="A216" s="210">
        <v>33</v>
      </c>
      <c r="B216" s="219">
        <v>41567</v>
      </c>
      <c r="C216" s="210" t="s">
        <v>418</v>
      </c>
      <c r="D216" s="210" t="s">
        <v>139</v>
      </c>
      <c r="E216" s="193"/>
      <c r="F216" s="221" t="s">
        <v>524</v>
      </c>
      <c r="G216" s="210" t="s">
        <v>364</v>
      </c>
      <c r="H216" s="155"/>
    </row>
    <row r="217" spans="1:8" x14ac:dyDescent="0.2">
      <c r="A217" s="210">
        <v>34</v>
      </c>
      <c r="B217" s="219">
        <v>41573</v>
      </c>
      <c r="C217" s="210" t="s">
        <v>366</v>
      </c>
      <c r="D217" s="210" t="s">
        <v>139</v>
      </c>
      <c r="E217" s="193"/>
      <c r="F217" s="221" t="s">
        <v>524</v>
      </c>
      <c r="G217" s="210" t="s">
        <v>419</v>
      </c>
      <c r="H217" s="155"/>
    </row>
    <row r="218" spans="1:8" x14ac:dyDescent="0.2">
      <c r="A218" s="210">
        <v>35</v>
      </c>
      <c r="B218" s="219">
        <v>41573</v>
      </c>
      <c r="C218" s="210" t="s">
        <v>420</v>
      </c>
      <c r="D218" s="210" t="s">
        <v>139</v>
      </c>
      <c r="E218" s="193"/>
      <c r="F218" s="221" t="s">
        <v>524</v>
      </c>
      <c r="G218" s="210" t="s">
        <v>419</v>
      </c>
      <c r="H218" s="155"/>
    </row>
    <row r="219" spans="1:8" x14ac:dyDescent="0.2">
      <c r="A219" s="210">
        <v>36</v>
      </c>
      <c r="B219" s="219">
        <v>41575</v>
      </c>
      <c r="C219" s="210" t="s">
        <v>366</v>
      </c>
      <c r="D219" s="210" t="s">
        <v>139</v>
      </c>
      <c r="E219" s="193"/>
      <c r="F219" s="221" t="s">
        <v>524</v>
      </c>
      <c r="G219" s="210" t="s">
        <v>419</v>
      </c>
      <c r="H219" s="155"/>
    </row>
    <row r="220" spans="1:8" x14ac:dyDescent="0.2">
      <c r="A220" s="210">
        <v>37</v>
      </c>
      <c r="B220" s="219">
        <v>41575</v>
      </c>
      <c r="C220" s="210" t="s">
        <v>420</v>
      </c>
      <c r="D220" s="210" t="s">
        <v>139</v>
      </c>
      <c r="E220" s="193"/>
      <c r="F220" s="221" t="s">
        <v>524</v>
      </c>
      <c r="G220" s="210" t="s">
        <v>419</v>
      </c>
      <c r="H220" s="155"/>
    </row>
    <row r="221" spans="1:8" x14ac:dyDescent="0.2">
      <c r="A221" s="210">
        <v>38</v>
      </c>
      <c r="B221" s="219">
        <v>41576</v>
      </c>
      <c r="C221" s="210" t="s">
        <v>366</v>
      </c>
      <c r="D221" s="210" t="s">
        <v>139</v>
      </c>
      <c r="E221" s="193"/>
      <c r="F221" s="221" t="s">
        <v>524</v>
      </c>
      <c r="G221" s="210" t="s">
        <v>419</v>
      </c>
      <c r="H221" s="155"/>
    </row>
    <row r="222" spans="1:8" x14ac:dyDescent="0.2">
      <c r="A222" s="210">
        <v>39</v>
      </c>
      <c r="B222" s="219">
        <v>41576</v>
      </c>
      <c r="C222" s="210" t="s">
        <v>420</v>
      </c>
      <c r="D222" s="210" t="s">
        <v>139</v>
      </c>
      <c r="E222" s="193"/>
      <c r="F222" s="221" t="s">
        <v>524</v>
      </c>
      <c r="G222" s="210" t="s">
        <v>419</v>
      </c>
      <c r="H222" s="155"/>
    </row>
    <row r="223" spans="1:8" x14ac:dyDescent="0.2">
      <c r="A223" s="210">
        <v>40</v>
      </c>
      <c r="B223" s="219">
        <v>41577</v>
      </c>
      <c r="C223" s="210" t="s">
        <v>366</v>
      </c>
      <c r="D223" s="210" t="s">
        <v>139</v>
      </c>
      <c r="E223" s="193"/>
      <c r="F223" s="221" t="s">
        <v>524</v>
      </c>
      <c r="G223" s="210" t="s">
        <v>419</v>
      </c>
      <c r="H223" s="155"/>
    </row>
    <row r="224" spans="1:8" x14ac:dyDescent="0.2">
      <c r="A224" s="210">
        <v>41</v>
      </c>
      <c r="B224" s="219">
        <v>41577</v>
      </c>
      <c r="C224" s="210" t="s">
        <v>420</v>
      </c>
      <c r="D224" s="210" t="s">
        <v>139</v>
      </c>
      <c r="E224" s="193"/>
      <c r="F224" s="221" t="s">
        <v>524</v>
      </c>
      <c r="G224" s="210" t="s">
        <v>419</v>
      </c>
      <c r="H224" s="155"/>
    </row>
    <row r="225" spans="1:8" x14ac:dyDescent="0.2">
      <c r="A225" s="210">
        <v>42</v>
      </c>
      <c r="B225" s="219">
        <v>41578</v>
      </c>
      <c r="C225" s="210" t="s">
        <v>366</v>
      </c>
      <c r="D225" s="210" t="s">
        <v>139</v>
      </c>
      <c r="E225" s="193"/>
      <c r="F225" s="221" t="s">
        <v>524</v>
      </c>
      <c r="G225" s="210" t="s">
        <v>419</v>
      </c>
      <c r="H225" s="155"/>
    </row>
    <row r="226" spans="1:8" x14ac:dyDescent="0.2">
      <c r="A226" s="210">
        <v>43</v>
      </c>
      <c r="B226" s="219">
        <v>41578</v>
      </c>
      <c r="C226" s="210" t="s">
        <v>420</v>
      </c>
      <c r="D226" s="210" t="s">
        <v>139</v>
      </c>
      <c r="E226" s="193"/>
      <c r="F226" s="221" t="s">
        <v>524</v>
      </c>
      <c r="G226" s="210" t="s">
        <v>419</v>
      </c>
      <c r="H226" s="155"/>
    </row>
    <row r="227" spans="1:8" x14ac:dyDescent="0.2">
      <c r="A227" s="210">
        <v>44</v>
      </c>
      <c r="B227" s="219">
        <v>41579</v>
      </c>
      <c r="C227" s="210" t="s">
        <v>366</v>
      </c>
      <c r="D227" s="210" t="s">
        <v>139</v>
      </c>
      <c r="E227" s="193"/>
      <c r="F227" s="221" t="s">
        <v>524</v>
      </c>
      <c r="G227" s="210" t="s">
        <v>419</v>
      </c>
      <c r="H227" s="155"/>
    </row>
    <row r="228" spans="1:8" x14ac:dyDescent="0.2">
      <c r="A228" s="210">
        <v>45</v>
      </c>
      <c r="B228" s="219">
        <v>41579</v>
      </c>
      <c r="C228" s="210" t="s">
        <v>420</v>
      </c>
      <c r="D228" s="210" t="s">
        <v>139</v>
      </c>
      <c r="E228" s="193"/>
      <c r="F228" s="221" t="s">
        <v>524</v>
      </c>
      <c r="G228" s="210" t="s">
        <v>419</v>
      </c>
      <c r="H228" s="155"/>
    </row>
    <row r="229" spans="1:8" x14ac:dyDescent="0.2">
      <c r="A229" s="210">
        <v>46</v>
      </c>
      <c r="B229" s="219">
        <v>41580</v>
      </c>
      <c r="C229" s="210" t="s">
        <v>366</v>
      </c>
      <c r="D229" s="210" t="s">
        <v>139</v>
      </c>
      <c r="E229" s="193"/>
      <c r="F229" s="221" t="s">
        <v>524</v>
      </c>
      <c r="G229" s="210" t="s">
        <v>419</v>
      </c>
      <c r="H229" s="155"/>
    </row>
    <row r="230" spans="1:8" x14ac:dyDescent="0.2">
      <c r="A230" s="210">
        <v>47</v>
      </c>
      <c r="B230" s="219">
        <v>41580</v>
      </c>
      <c r="C230" s="210" t="s">
        <v>420</v>
      </c>
      <c r="D230" s="210" t="s">
        <v>139</v>
      </c>
      <c r="E230" s="193"/>
      <c r="F230" s="221" t="s">
        <v>524</v>
      </c>
      <c r="G230" s="210" t="s">
        <v>419</v>
      </c>
      <c r="H230" s="155"/>
    </row>
    <row r="231" spans="1:8" x14ac:dyDescent="0.2">
      <c r="A231" s="210">
        <v>48</v>
      </c>
      <c r="B231" s="219">
        <v>41594</v>
      </c>
      <c r="C231" s="210" t="s">
        <v>421</v>
      </c>
      <c r="D231" s="210" t="s">
        <v>139</v>
      </c>
      <c r="E231" s="193"/>
      <c r="F231" s="221" t="s">
        <v>612</v>
      </c>
      <c r="G231" s="210" t="s">
        <v>613</v>
      </c>
      <c r="H231" s="155"/>
    </row>
    <row r="232" spans="1:8" x14ac:dyDescent="0.2">
      <c r="A232" s="210">
        <v>49</v>
      </c>
      <c r="B232" s="219">
        <v>41602</v>
      </c>
      <c r="C232" s="210" t="s">
        <v>424</v>
      </c>
      <c r="D232" s="210" t="s">
        <v>139</v>
      </c>
      <c r="E232" s="193"/>
      <c r="F232" s="221" t="s">
        <v>797</v>
      </c>
      <c r="G232" s="210" t="s">
        <v>615</v>
      </c>
      <c r="H232" s="155"/>
    </row>
    <row r="233" spans="1:8" x14ac:dyDescent="0.2">
      <c r="A233" s="353">
        <v>2012</v>
      </c>
      <c r="B233" s="353"/>
      <c r="C233" s="353"/>
      <c r="D233" s="353"/>
      <c r="E233" s="353"/>
      <c r="F233" s="353"/>
      <c r="G233" s="353"/>
    </row>
    <row r="234" spans="1:8" x14ac:dyDescent="0.2">
      <c r="A234" s="181">
        <v>1</v>
      </c>
      <c r="B234" s="208">
        <v>40940</v>
      </c>
      <c r="C234" s="181" t="s">
        <v>286</v>
      </c>
      <c r="D234" s="181"/>
      <c r="E234" s="193"/>
      <c r="F234" s="196" t="s">
        <v>524</v>
      </c>
      <c r="G234" s="181" t="s">
        <v>617</v>
      </c>
    </row>
    <row r="235" spans="1:8" x14ac:dyDescent="0.2">
      <c r="A235" s="181">
        <v>2</v>
      </c>
      <c r="B235" s="208">
        <v>40946</v>
      </c>
      <c r="C235" s="181" t="s">
        <v>288</v>
      </c>
      <c r="D235" s="210" t="s">
        <v>139</v>
      </c>
      <c r="E235" s="193"/>
      <c r="F235" s="196" t="s">
        <v>524</v>
      </c>
      <c r="G235" s="181" t="s">
        <v>618</v>
      </c>
    </row>
    <row r="236" spans="1:8" x14ac:dyDescent="0.2">
      <c r="A236" s="181">
        <v>3</v>
      </c>
      <c r="B236" s="208">
        <v>40948</v>
      </c>
      <c r="C236" s="181" t="s">
        <v>289</v>
      </c>
      <c r="D236" s="210" t="s">
        <v>139</v>
      </c>
      <c r="E236" s="193"/>
      <c r="F236" s="196" t="s">
        <v>524</v>
      </c>
      <c r="G236" s="180" t="s">
        <v>619</v>
      </c>
    </row>
    <row r="237" spans="1:8" x14ac:dyDescent="0.2">
      <c r="A237" s="181">
        <v>4</v>
      </c>
      <c r="B237" s="208">
        <v>40949</v>
      </c>
      <c r="C237" s="181" t="s">
        <v>291</v>
      </c>
      <c r="D237" s="181"/>
      <c r="E237" s="193"/>
      <c r="F237" s="196" t="s">
        <v>524</v>
      </c>
      <c r="G237" s="181" t="s">
        <v>620</v>
      </c>
    </row>
    <row r="238" spans="1:8" x14ac:dyDescent="0.2">
      <c r="A238" s="181">
        <v>5</v>
      </c>
      <c r="B238" s="208">
        <v>40997</v>
      </c>
      <c r="C238" s="181" t="s">
        <v>293</v>
      </c>
      <c r="D238" s="181"/>
      <c r="E238" s="193"/>
      <c r="F238" s="196" t="s">
        <v>616</v>
      </c>
      <c r="G238" s="181" t="s">
        <v>292</v>
      </c>
    </row>
    <row r="239" spans="1:8" x14ac:dyDescent="0.2">
      <c r="A239" s="181">
        <v>6</v>
      </c>
      <c r="B239" s="208">
        <v>40998</v>
      </c>
      <c r="C239" s="181" t="s">
        <v>295</v>
      </c>
      <c r="D239" s="181"/>
      <c r="E239" s="193"/>
      <c r="F239" s="196" t="s">
        <v>524</v>
      </c>
      <c r="G239" s="181" t="s">
        <v>294</v>
      </c>
    </row>
    <row r="240" spans="1:8" x14ac:dyDescent="0.2">
      <c r="A240" s="181">
        <v>7</v>
      </c>
      <c r="B240" s="208">
        <v>40999</v>
      </c>
      <c r="C240" s="180" t="s">
        <v>297</v>
      </c>
      <c r="D240" s="210" t="s">
        <v>139</v>
      </c>
      <c r="E240" s="193"/>
      <c r="F240" s="196" t="s">
        <v>530</v>
      </c>
      <c r="G240" s="181" t="s">
        <v>621</v>
      </c>
    </row>
    <row r="241" spans="1:7" x14ac:dyDescent="0.2">
      <c r="A241" s="181">
        <v>8</v>
      </c>
      <c r="B241" s="208">
        <v>41000</v>
      </c>
      <c r="C241" s="180" t="s">
        <v>299</v>
      </c>
      <c r="D241" s="210" t="s">
        <v>139</v>
      </c>
      <c r="E241" s="193"/>
      <c r="F241" s="196" t="s">
        <v>530</v>
      </c>
      <c r="G241" s="181" t="s">
        <v>622</v>
      </c>
    </row>
    <row r="242" spans="1:7" x14ac:dyDescent="0.2">
      <c r="A242" s="181">
        <v>9</v>
      </c>
      <c r="B242" s="208">
        <v>41021</v>
      </c>
      <c r="C242" s="180" t="s">
        <v>298</v>
      </c>
      <c r="D242" s="210" t="s">
        <v>139</v>
      </c>
      <c r="E242" s="193"/>
      <c r="F242" s="196" t="s">
        <v>524</v>
      </c>
      <c r="G242" s="181" t="s">
        <v>637</v>
      </c>
    </row>
    <row r="243" spans="1:7" x14ac:dyDescent="0.2">
      <c r="A243" s="180">
        <v>10</v>
      </c>
      <c r="B243" s="207">
        <v>41030</v>
      </c>
      <c r="C243" s="180" t="s">
        <v>303</v>
      </c>
      <c r="D243" s="210" t="s">
        <v>139</v>
      </c>
      <c r="E243" s="193"/>
      <c r="F243" s="196" t="s">
        <v>524</v>
      </c>
      <c r="G243" s="180" t="s">
        <v>638</v>
      </c>
    </row>
    <row r="244" spans="1:7" x14ac:dyDescent="0.2">
      <c r="A244" s="180">
        <v>11</v>
      </c>
      <c r="B244" s="207">
        <v>41033</v>
      </c>
      <c r="C244" s="180" t="s">
        <v>306</v>
      </c>
      <c r="D244" s="181"/>
      <c r="E244" s="193"/>
      <c r="F244" s="196" t="s">
        <v>524</v>
      </c>
      <c r="G244" s="181" t="s">
        <v>639</v>
      </c>
    </row>
    <row r="245" spans="1:7" x14ac:dyDescent="0.2">
      <c r="A245" s="180">
        <v>12</v>
      </c>
      <c r="B245" s="207">
        <v>41035</v>
      </c>
      <c r="C245" s="180" t="s">
        <v>308</v>
      </c>
      <c r="D245" s="181"/>
      <c r="E245" s="193"/>
      <c r="F245" s="196" t="s">
        <v>524</v>
      </c>
      <c r="G245" s="180" t="s">
        <v>640</v>
      </c>
    </row>
    <row r="246" spans="1:7" x14ac:dyDescent="0.2">
      <c r="A246" s="180">
        <v>13</v>
      </c>
      <c r="B246" s="207">
        <v>41042</v>
      </c>
      <c r="C246" s="180" t="s">
        <v>310</v>
      </c>
      <c r="D246" s="210" t="s">
        <v>139</v>
      </c>
      <c r="E246" s="193"/>
      <c r="F246" s="196" t="s">
        <v>524</v>
      </c>
      <c r="G246" s="180" t="s">
        <v>641</v>
      </c>
    </row>
    <row r="247" spans="1:7" x14ac:dyDescent="0.2">
      <c r="A247" s="180">
        <v>14</v>
      </c>
      <c r="B247" s="207">
        <v>41048</v>
      </c>
      <c r="C247" s="180" t="s">
        <v>312</v>
      </c>
      <c r="D247" s="210" t="s">
        <v>139</v>
      </c>
      <c r="E247" s="193"/>
      <c r="F247" s="196" t="s">
        <v>524</v>
      </c>
      <c r="G247" s="181" t="s">
        <v>642</v>
      </c>
    </row>
    <row r="248" spans="1:7" x14ac:dyDescent="0.2">
      <c r="A248" s="180">
        <v>15</v>
      </c>
      <c r="B248" s="207">
        <v>41049</v>
      </c>
      <c r="C248" s="180" t="s">
        <v>353</v>
      </c>
      <c r="D248" s="210" t="s">
        <v>139</v>
      </c>
      <c r="E248" s="193"/>
      <c r="F248" s="196" t="s">
        <v>524</v>
      </c>
      <c r="G248" s="180" t="s">
        <v>643</v>
      </c>
    </row>
    <row r="249" spans="1:7" x14ac:dyDescent="0.2">
      <c r="A249" s="180">
        <v>16</v>
      </c>
      <c r="B249" s="228">
        <v>41053</v>
      </c>
      <c r="C249" s="180" t="s">
        <v>324</v>
      </c>
      <c r="D249" s="210" t="s">
        <v>139</v>
      </c>
      <c r="E249" s="193"/>
      <c r="F249" s="196" t="s">
        <v>530</v>
      </c>
      <c r="G249" s="180" t="s">
        <v>644</v>
      </c>
    </row>
    <row r="250" spans="1:7" x14ac:dyDescent="0.2">
      <c r="A250" s="180">
        <v>17</v>
      </c>
      <c r="B250" s="228">
        <v>41053</v>
      </c>
      <c r="C250" s="180" t="s">
        <v>325</v>
      </c>
      <c r="D250" s="210" t="s">
        <v>139</v>
      </c>
      <c r="E250" s="193"/>
      <c r="F250" s="196" t="s">
        <v>524</v>
      </c>
      <c r="G250" s="180" t="s">
        <v>645</v>
      </c>
    </row>
    <row r="251" spans="1:7" x14ac:dyDescent="0.2">
      <c r="A251" s="180">
        <v>18</v>
      </c>
      <c r="B251" s="228">
        <v>41053</v>
      </c>
      <c r="C251" s="180" t="s">
        <v>326</v>
      </c>
      <c r="D251" s="210" t="s">
        <v>139</v>
      </c>
      <c r="E251" s="193"/>
      <c r="F251" s="196" t="s">
        <v>524</v>
      </c>
      <c r="G251" s="180" t="s">
        <v>646</v>
      </c>
    </row>
    <row r="252" spans="1:7" x14ac:dyDescent="0.2">
      <c r="A252" s="180">
        <v>19</v>
      </c>
      <c r="B252" s="228">
        <v>41054</v>
      </c>
      <c r="C252" s="180" t="s">
        <v>316</v>
      </c>
      <c r="D252" s="210" t="s">
        <v>139</v>
      </c>
      <c r="E252" s="193"/>
      <c r="F252" s="196" t="s">
        <v>539</v>
      </c>
      <c r="G252" s="181" t="s">
        <v>632</v>
      </c>
    </row>
    <row r="253" spans="1:7" x14ac:dyDescent="0.2">
      <c r="A253" s="180">
        <v>20</v>
      </c>
      <c r="B253" s="228">
        <v>41055</v>
      </c>
      <c r="C253" s="180" t="s">
        <v>315</v>
      </c>
      <c r="D253" s="210" t="s">
        <v>139</v>
      </c>
      <c r="E253" s="193"/>
      <c r="F253" s="196" t="s">
        <v>539</v>
      </c>
      <c r="G253" s="180" t="s">
        <v>633</v>
      </c>
    </row>
    <row r="254" spans="1:7" x14ac:dyDescent="0.2">
      <c r="A254" s="180">
        <v>21</v>
      </c>
      <c r="B254" s="228">
        <v>41056</v>
      </c>
      <c r="C254" s="180" t="s">
        <v>320</v>
      </c>
      <c r="D254" s="210" t="s">
        <v>139</v>
      </c>
      <c r="E254" s="193"/>
      <c r="F254" s="196" t="s">
        <v>524</v>
      </c>
      <c r="G254" s="180" t="s">
        <v>631</v>
      </c>
    </row>
    <row r="255" spans="1:7" x14ac:dyDescent="0.2">
      <c r="A255" s="180">
        <v>22</v>
      </c>
      <c r="B255" s="228">
        <v>41057</v>
      </c>
      <c r="C255" s="180" t="s">
        <v>319</v>
      </c>
      <c r="D255" s="210" t="s">
        <v>139</v>
      </c>
      <c r="E255" s="193"/>
      <c r="F255" s="196" t="s">
        <v>524</v>
      </c>
      <c r="G255" s="180" t="s">
        <v>630</v>
      </c>
    </row>
    <row r="256" spans="1:7" x14ac:dyDescent="0.2">
      <c r="A256" s="181">
        <v>23</v>
      </c>
      <c r="B256" s="208">
        <v>41055</v>
      </c>
      <c r="C256" s="181" t="s">
        <v>328</v>
      </c>
      <c r="D256" s="210" t="s">
        <v>139</v>
      </c>
      <c r="E256" s="193"/>
      <c r="F256" s="196" t="s">
        <v>524</v>
      </c>
      <c r="G256" s="181" t="s">
        <v>629</v>
      </c>
    </row>
    <row r="257" spans="1:7" x14ac:dyDescent="0.2">
      <c r="A257" s="181">
        <v>24</v>
      </c>
      <c r="B257" s="204">
        <v>41059</v>
      </c>
      <c r="C257" s="181" t="s">
        <v>324</v>
      </c>
      <c r="D257" s="196" t="s">
        <v>139</v>
      </c>
      <c r="E257" s="193"/>
      <c r="F257" s="196" t="s">
        <v>524</v>
      </c>
      <c r="G257" s="181" t="s">
        <v>628</v>
      </c>
    </row>
    <row r="258" spans="1:7" x14ac:dyDescent="0.2">
      <c r="A258" s="181">
        <v>25</v>
      </c>
      <c r="B258" s="204">
        <v>41060</v>
      </c>
      <c r="C258" s="180" t="s">
        <v>330</v>
      </c>
      <c r="D258" s="196" t="s">
        <v>139</v>
      </c>
      <c r="E258" s="193"/>
      <c r="F258" s="196" t="s">
        <v>626</v>
      </c>
      <c r="G258" s="180" t="s">
        <v>627</v>
      </c>
    </row>
    <row r="259" spans="1:7" x14ac:dyDescent="0.2">
      <c r="A259" s="181">
        <v>26</v>
      </c>
      <c r="B259" s="208">
        <v>41060</v>
      </c>
      <c r="C259" s="180" t="s">
        <v>332</v>
      </c>
      <c r="D259" s="210" t="s">
        <v>139</v>
      </c>
      <c r="E259" s="193"/>
      <c r="F259" s="196" t="s">
        <v>625</v>
      </c>
      <c r="G259" s="180" t="s">
        <v>634</v>
      </c>
    </row>
    <row r="260" spans="1:7" x14ac:dyDescent="0.2">
      <c r="A260" s="180">
        <v>27</v>
      </c>
      <c r="B260" s="207">
        <v>41065</v>
      </c>
      <c r="C260" s="180" t="s">
        <v>335</v>
      </c>
      <c r="D260" s="210" t="s">
        <v>139</v>
      </c>
      <c r="E260" s="193"/>
      <c r="F260" s="196" t="s">
        <v>524</v>
      </c>
      <c r="G260" s="181" t="s">
        <v>624</v>
      </c>
    </row>
    <row r="261" spans="1:7" x14ac:dyDescent="0.2">
      <c r="A261" s="180">
        <v>28</v>
      </c>
      <c r="B261" s="207">
        <v>41070</v>
      </c>
      <c r="C261" s="180" t="s">
        <v>337</v>
      </c>
      <c r="D261" s="210" t="s">
        <v>139</v>
      </c>
      <c r="E261" s="193"/>
      <c r="F261" s="196" t="s">
        <v>647</v>
      </c>
      <c r="G261" s="181" t="s">
        <v>648</v>
      </c>
    </row>
    <row r="262" spans="1:7" x14ac:dyDescent="0.2">
      <c r="A262" s="180">
        <v>29</v>
      </c>
      <c r="B262" s="207">
        <v>41071</v>
      </c>
      <c r="C262" s="180" t="s">
        <v>335</v>
      </c>
      <c r="D262" s="210" t="s">
        <v>139</v>
      </c>
      <c r="E262" s="193"/>
      <c r="F262" s="196" t="s">
        <v>635</v>
      </c>
      <c r="G262" s="181" t="s">
        <v>636</v>
      </c>
    </row>
    <row r="263" spans="1:7" x14ac:dyDescent="0.2">
      <c r="A263" s="180">
        <v>30</v>
      </c>
      <c r="B263" s="207">
        <v>41083</v>
      </c>
      <c r="C263" s="180" t="s">
        <v>340</v>
      </c>
      <c r="D263" s="210" t="s">
        <v>139</v>
      </c>
      <c r="E263" s="193"/>
      <c r="F263" s="196" t="s">
        <v>524</v>
      </c>
      <c r="G263" s="181" t="s">
        <v>623</v>
      </c>
    </row>
    <row r="264" spans="1:7" ht="12.75" customHeight="1" x14ac:dyDescent="0.2">
      <c r="A264" s="180">
        <v>31</v>
      </c>
      <c r="B264" s="207">
        <v>41085</v>
      </c>
      <c r="C264" s="180" t="s">
        <v>343</v>
      </c>
      <c r="D264" s="210" t="s">
        <v>139</v>
      </c>
      <c r="E264" s="193"/>
      <c r="F264" s="196" t="s">
        <v>649</v>
      </c>
      <c r="G264" s="181" t="s">
        <v>651</v>
      </c>
    </row>
    <row r="265" spans="1:7" x14ac:dyDescent="0.2">
      <c r="A265" s="180">
        <v>32</v>
      </c>
      <c r="B265" s="207">
        <v>41086</v>
      </c>
      <c r="C265" s="180" t="s">
        <v>344</v>
      </c>
      <c r="D265" s="210" t="s">
        <v>139</v>
      </c>
      <c r="E265" s="193"/>
      <c r="F265" s="196" t="s">
        <v>650</v>
      </c>
      <c r="G265" s="181" t="s">
        <v>652</v>
      </c>
    </row>
    <row r="266" spans="1:7" x14ac:dyDescent="0.2">
      <c r="A266" s="180">
        <v>33</v>
      </c>
      <c r="B266" s="207">
        <v>41087</v>
      </c>
      <c r="C266" s="180" t="s">
        <v>346</v>
      </c>
      <c r="D266" s="210" t="s">
        <v>139</v>
      </c>
      <c r="E266" s="193"/>
      <c r="F266" s="196" t="s">
        <v>524</v>
      </c>
      <c r="G266" s="181" t="s">
        <v>655</v>
      </c>
    </row>
    <row r="267" spans="1:7" x14ac:dyDescent="0.2">
      <c r="A267" s="180">
        <v>34</v>
      </c>
      <c r="B267" s="228">
        <v>41088</v>
      </c>
      <c r="C267" s="180" t="s">
        <v>347</v>
      </c>
      <c r="D267" s="210" t="s">
        <v>139</v>
      </c>
      <c r="E267" s="193"/>
      <c r="F267" s="196" t="s">
        <v>524</v>
      </c>
      <c r="G267" s="180" t="s">
        <v>656</v>
      </c>
    </row>
    <row r="268" spans="1:7" ht="12.75" customHeight="1" x14ac:dyDescent="0.2">
      <c r="A268" s="180">
        <v>35</v>
      </c>
      <c r="B268" s="228">
        <v>41089</v>
      </c>
      <c r="C268" s="180" t="s">
        <v>349</v>
      </c>
      <c r="D268" s="210" t="s">
        <v>139</v>
      </c>
      <c r="E268" s="193"/>
      <c r="F268" s="196" t="s">
        <v>524</v>
      </c>
      <c r="G268" s="180" t="s">
        <v>657</v>
      </c>
    </row>
    <row r="269" spans="1:7" x14ac:dyDescent="0.2">
      <c r="A269" s="180">
        <v>36</v>
      </c>
      <c r="B269" s="207">
        <v>41119</v>
      </c>
      <c r="C269" s="180" t="s">
        <v>354</v>
      </c>
      <c r="D269" s="210" t="s">
        <v>139</v>
      </c>
      <c r="E269" s="193"/>
      <c r="F269" s="196" t="s">
        <v>524</v>
      </c>
      <c r="G269" s="181" t="s">
        <v>658</v>
      </c>
    </row>
    <row r="270" spans="1:7" x14ac:dyDescent="0.2">
      <c r="A270" s="180">
        <v>37</v>
      </c>
      <c r="B270" s="207">
        <v>41121</v>
      </c>
      <c r="C270" s="180" t="s">
        <v>77</v>
      </c>
      <c r="D270" s="210" t="s">
        <v>139</v>
      </c>
      <c r="E270" s="193"/>
      <c r="F270" s="196" t="s">
        <v>653</v>
      </c>
      <c r="G270" s="181" t="s">
        <v>654</v>
      </c>
    </row>
    <row r="271" spans="1:7" x14ac:dyDescent="0.2">
      <c r="A271" s="180">
        <v>38</v>
      </c>
      <c r="B271" s="207">
        <v>41153</v>
      </c>
      <c r="C271" s="180" t="s">
        <v>358</v>
      </c>
      <c r="D271" s="210" t="s">
        <v>139</v>
      </c>
      <c r="E271" s="193"/>
      <c r="F271" s="196" t="s">
        <v>626</v>
      </c>
      <c r="G271" s="181" t="s">
        <v>659</v>
      </c>
    </row>
    <row r="272" spans="1:7" x14ac:dyDescent="0.2">
      <c r="A272" s="180">
        <v>39</v>
      </c>
      <c r="B272" s="207">
        <v>41154</v>
      </c>
      <c r="C272" s="180" t="s">
        <v>358</v>
      </c>
      <c r="D272" s="210" t="s">
        <v>139</v>
      </c>
      <c r="E272" s="193"/>
      <c r="F272" s="196" t="s">
        <v>626</v>
      </c>
      <c r="G272" s="181" t="s">
        <v>659</v>
      </c>
    </row>
    <row r="273" spans="1:7" x14ac:dyDescent="0.2">
      <c r="A273" s="180">
        <v>40</v>
      </c>
      <c r="B273" s="207">
        <v>41155</v>
      </c>
      <c r="C273" s="180" t="s">
        <v>358</v>
      </c>
      <c r="D273" s="210" t="s">
        <v>139</v>
      </c>
      <c r="E273" s="193"/>
      <c r="F273" s="196" t="s">
        <v>626</v>
      </c>
      <c r="G273" s="181" t="s">
        <v>659</v>
      </c>
    </row>
    <row r="274" spans="1:7" x14ac:dyDescent="0.2">
      <c r="A274" s="180">
        <v>41</v>
      </c>
      <c r="B274" s="207">
        <v>41156</v>
      </c>
      <c r="C274" s="180" t="s">
        <v>358</v>
      </c>
      <c r="D274" s="210" t="s">
        <v>139</v>
      </c>
      <c r="E274" s="193"/>
      <c r="F274" s="196" t="s">
        <v>626</v>
      </c>
      <c r="G274" s="181" t="s">
        <v>659</v>
      </c>
    </row>
    <row r="275" spans="1:7" x14ac:dyDescent="0.2">
      <c r="A275" s="180">
        <v>42</v>
      </c>
      <c r="B275" s="207">
        <v>41157</v>
      </c>
      <c r="C275" s="180" t="s">
        <v>358</v>
      </c>
      <c r="D275" s="210" t="s">
        <v>139</v>
      </c>
      <c r="E275" s="193"/>
      <c r="F275" s="196" t="s">
        <v>626</v>
      </c>
      <c r="G275" s="181" t="s">
        <v>659</v>
      </c>
    </row>
    <row r="276" spans="1:7" x14ac:dyDescent="0.2">
      <c r="A276" s="180">
        <v>43</v>
      </c>
      <c r="B276" s="207">
        <v>41158</v>
      </c>
      <c r="C276" s="180" t="s">
        <v>358</v>
      </c>
      <c r="D276" s="210" t="s">
        <v>139</v>
      </c>
      <c r="E276" s="193"/>
      <c r="F276" s="196" t="s">
        <v>626</v>
      </c>
      <c r="G276" s="181" t="s">
        <v>659</v>
      </c>
    </row>
    <row r="277" spans="1:7" x14ac:dyDescent="0.2">
      <c r="A277" s="180">
        <v>44</v>
      </c>
      <c r="B277" s="207">
        <v>41159</v>
      </c>
      <c r="C277" s="180" t="s">
        <v>358</v>
      </c>
      <c r="D277" s="210" t="s">
        <v>139</v>
      </c>
      <c r="E277" s="193"/>
      <c r="F277" s="196" t="s">
        <v>626</v>
      </c>
      <c r="G277" s="181" t="s">
        <v>659</v>
      </c>
    </row>
    <row r="278" spans="1:7" x14ac:dyDescent="0.2">
      <c r="A278" s="180">
        <v>45</v>
      </c>
      <c r="B278" s="207">
        <v>41160</v>
      </c>
      <c r="C278" s="180" t="s">
        <v>359</v>
      </c>
      <c r="D278" s="210" t="s">
        <v>139</v>
      </c>
      <c r="E278" s="193"/>
      <c r="F278" s="196" t="s">
        <v>626</v>
      </c>
      <c r="G278" s="181" t="s">
        <v>659</v>
      </c>
    </row>
    <row r="279" spans="1:7" x14ac:dyDescent="0.2">
      <c r="A279" s="180">
        <v>46</v>
      </c>
      <c r="B279" s="207">
        <v>41180</v>
      </c>
      <c r="C279" s="180" t="s">
        <v>361</v>
      </c>
      <c r="D279" s="181"/>
      <c r="E279" s="193"/>
      <c r="F279" s="176" t="s">
        <v>616</v>
      </c>
      <c r="G279" s="181" t="s">
        <v>669</v>
      </c>
    </row>
    <row r="280" spans="1:7" x14ac:dyDescent="0.2">
      <c r="A280" s="180">
        <v>47</v>
      </c>
      <c r="B280" s="228">
        <v>41182</v>
      </c>
      <c r="C280" s="180" t="s">
        <v>232</v>
      </c>
      <c r="D280" s="210" t="s">
        <v>139</v>
      </c>
      <c r="E280" s="193"/>
      <c r="F280" s="196" t="s">
        <v>666</v>
      </c>
      <c r="G280" s="180" t="s">
        <v>667</v>
      </c>
    </row>
    <row r="281" spans="1:7" x14ac:dyDescent="0.2">
      <c r="A281" s="180">
        <v>48</v>
      </c>
      <c r="B281" s="228">
        <v>41183</v>
      </c>
      <c r="C281" s="180" t="s">
        <v>363</v>
      </c>
      <c r="D281" s="210" t="s">
        <v>139</v>
      </c>
      <c r="E281" s="193"/>
      <c r="F281" s="196" t="s">
        <v>524</v>
      </c>
      <c r="G281" s="180" t="s">
        <v>668</v>
      </c>
    </row>
    <row r="282" spans="1:7" x14ac:dyDescent="0.2">
      <c r="A282" s="180">
        <v>49</v>
      </c>
      <c r="B282" s="207">
        <v>41189</v>
      </c>
      <c r="C282" s="180" t="s">
        <v>366</v>
      </c>
      <c r="D282" s="210" t="s">
        <v>139</v>
      </c>
      <c r="E282" s="193"/>
      <c r="F282" s="196" t="s">
        <v>647</v>
      </c>
      <c r="G282" s="181" t="s">
        <v>665</v>
      </c>
    </row>
    <row r="283" spans="1:7" x14ac:dyDescent="0.2">
      <c r="A283" s="180">
        <v>50</v>
      </c>
      <c r="B283" s="207">
        <v>41202</v>
      </c>
      <c r="C283" s="180" t="s">
        <v>367</v>
      </c>
      <c r="D283" s="210" t="s">
        <v>139</v>
      </c>
      <c r="E283" s="193"/>
      <c r="F283" s="196" t="s">
        <v>524</v>
      </c>
      <c r="G283" s="180" t="s">
        <v>664</v>
      </c>
    </row>
    <row r="284" spans="1:7" x14ac:dyDescent="0.2">
      <c r="A284" s="180">
        <v>51</v>
      </c>
      <c r="B284" s="228">
        <v>41209</v>
      </c>
      <c r="C284" s="180" t="s">
        <v>368</v>
      </c>
      <c r="D284" s="222" t="s">
        <v>278</v>
      </c>
      <c r="E284" s="193"/>
      <c r="F284" s="196" t="s">
        <v>524</v>
      </c>
      <c r="G284" s="215" t="s">
        <v>663</v>
      </c>
    </row>
    <row r="285" spans="1:7" x14ac:dyDescent="0.2">
      <c r="A285" s="180">
        <v>52</v>
      </c>
      <c r="B285" s="228">
        <v>41210</v>
      </c>
      <c r="C285" s="180" t="s">
        <v>284</v>
      </c>
      <c r="D285" s="222" t="s">
        <v>278</v>
      </c>
      <c r="E285" s="193"/>
      <c r="F285" s="196" t="s">
        <v>524</v>
      </c>
      <c r="G285" s="215" t="s">
        <v>663</v>
      </c>
    </row>
    <row r="286" spans="1:7" x14ac:dyDescent="0.2">
      <c r="A286" s="180">
        <v>53</v>
      </c>
      <c r="B286" s="228">
        <v>41211</v>
      </c>
      <c r="C286" s="180" t="s">
        <v>368</v>
      </c>
      <c r="D286" s="222" t="s">
        <v>278</v>
      </c>
      <c r="E286" s="193"/>
      <c r="F286" s="196" t="s">
        <v>524</v>
      </c>
      <c r="G286" s="215" t="s">
        <v>663</v>
      </c>
    </row>
    <row r="287" spans="1:7" x14ac:dyDescent="0.2">
      <c r="A287" s="180">
        <v>54</v>
      </c>
      <c r="B287" s="228">
        <v>41212</v>
      </c>
      <c r="C287" s="180" t="s">
        <v>64</v>
      </c>
      <c r="D287" s="222" t="s">
        <v>278</v>
      </c>
      <c r="E287" s="193"/>
      <c r="F287" s="196" t="s">
        <v>524</v>
      </c>
      <c r="G287" s="215" t="s">
        <v>663</v>
      </c>
    </row>
    <row r="288" spans="1:7" x14ac:dyDescent="0.2">
      <c r="A288" s="180">
        <v>55</v>
      </c>
      <c r="B288" s="228">
        <v>41212</v>
      </c>
      <c r="C288" s="180" t="s">
        <v>368</v>
      </c>
      <c r="D288" s="222" t="s">
        <v>278</v>
      </c>
      <c r="E288" s="193"/>
      <c r="F288" s="196" t="s">
        <v>524</v>
      </c>
      <c r="G288" s="215" t="s">
        <v>663</v>
      </c>
    </row>
    <row r="289" spans="1:7" x14ac:dyDescent="0.2">
      <c r="A289" s="180">
        <v>56</v>
      </c>
      <c r="B289" s="228">
        <v>41213</v>
      </c>
      <c r="C289" s="180" t="s">
        <v>64</v>
      </c>
      <c r="D289" s="222" t="s">
        <v>278</v>
      </c>
      <c r="E289" s="193"/>
      <c r="F289" s="196" t="s">
        <v>524</v>
      </c>
      <c r="G289" s="215" t="s">
        <v>663</v>
      </c>
    </row>
    <row r="290" spans="1:7" x14ac:dyDescent="0.2">
      <c r="A290" s="180">
        <v>57</v>
      </c>
      <c r="B290" s="228">
        <v>41213</v>
      </c>
      <c r="C290" s="180" t="s">
        <v>368</v>
      </c>
      <c r="D290" s="222" t="s">
        <v>278</v>
      </c>
      <c r="E290" s="193"/>
      <c r="F290" s="196" t="s">
        <v>524</v>
      </c>
      <c r="G290" s="215" t="s">
        <v>663</v>
      </c>
    </row>
    <row r="291" spans="1:7" x14ac:dyDescent="0.2">
      <c r="A291" s="180">
        <v>58</v>
      </c>
      <c r="B291" s="228">
        <v>41214</v>
      </c>
      <c r="C291" s="180" t="s">
        <v>369</v>
      </c>
      <c r="D291" s="222" t="s">
        <v>278</v>
      </c>
      <c r="E291" s="193"/>
      <c r="F291" s="196" t="s">
        <v>524</v>
      </c>
      <c r="G291" s="215" t="s">
        <v>663</v>
      </c>
    </row>
    <row r="292" spans="1:7" x14ac:dyDescent="0.2">
      <c r="A292" s="180">
        <v>59</v>
      </c>
      <c r="B292" s="228">
        <v>41214</v>
      </c>
      <c r="C292" s="180" t="s">
        <v>368</v>
      </c>
      <c r="D292" s="222" t="s">
        <v>278</v>
      </c>
      <c r="E292" s="193"/>
      <c r="F292" s="196" t="s">
        <v>524</v>
      </c>
      <c r="G292" s="215" t="s">
        <v>663</v>
      </c>
    </row>
    <row r="293" spans="1:7" x14ac:dyDescent="0.2">
      <c r="A293" s="180">
        <v>60</v>
      </c>
      <c r="B293" s="228">
        <v>41215</v>
      </c>
      <c r="C293" s="180" t="s">
        <v>284</v>
      </c>
      <c r="D293" s="222" t="s">
        <v>278</v>
      </c>
      <c r="E293" s="193"/>
      <c r="F293" s="196" t="s">
        <v>524</v>
      </c>
      <c r="G293" s="215" t="s">
        <v>663</v>
      </c>
    </row>
    <row r="294" spans="1:7" x14ac:dyDescent="0.2">
      <c r="A294" s="180">
        <v>61</v>
      </c>
      <c r="B294" s="228">
        <v>41215</v>
      </c>
      <c r="C294" s="180" t="s">
        <v>368</v>
      </c>
      <c r="D294" s="222" t="s">
        <v>278</v>
      </c>
      <c r="E294" s="193"/>
      <c r="F294" s="196" t="s">
        <v>524</v>
      </c>
      <c r="G294" s="215" t="s">
        <v>663</v>
      </c>
    </row>
    <row r="295" spans="1:7" x14ac:dyDescent="0.2">
      <c r="A295" s="180">
        <v>62</v>
      </c>
      <c r="B295" s="228">
        <v>41216</v>
      </c>
      <c r="C295" s="180" t="s">
        <v>284</v>
      </c>
      <c r="D295" s="222" t="s">
        <v>278</v>
      </c>
      <c r="E295" s="193"/>
      <c r="F295" s="196" t="s">
        <v>524</v>
      </c>
      <c r="G295" s="215" t="s">
        <v>663</v>
      </c>
    </row>
    <row r="296" spans="1:7" x14ac:dyDescent="0.2">
      <c r="A296" s="180">
        <v>63</v>
      </c>
      <c r="B296" s="207">
        <v>41223</v>
      </c>
      <c r="C296" s="180" t="s">
        <v>370</v>
      </c>
      <c r="D296" s="181"/>
      <c r="E296" s="193"/>
      <c r="F296" s="176" t="s">
        <v>661</v>
      </c>
      <c r="G296" s="180" t="s">
        <v>662</v>
      </c>
    </row>
    <row r="297" spans="1:7" x14ac:dyDescent="0.2">
      <c r="A297" s="180">
        <v>64</v>
      </c>
      <c r="B297" s="207">
        <v>41241</v>
      </c>
      <c r="C297" s="180" t="s">
        <v>373</v>
      </c>
      <c r="D297" s="210" t="s">
        <v>139</v>
      </c>
      <c r="E297" s="193"/>
      <c r="F297" s="196" t="s">
        <v>524</v>
      </c>
      <c r="G297" s="181" t="s">
        <v>660</v>
      </c>
    </row>
    <row r="298" spans="1:7" x14ac:dyDescent="0.2">
      <c r="A298" s="353">
        <v>2011</v>
      </c>
      <c r="B298" s="353"/>
      <c r="C298" s="353"/>
      <c r="D298" s="353"/>
      <c r="E298" s="353"/>
      <c r="F298" s="353"/>
      <c r="G298" s="353"/>
    </row>
    <row r="299" spans="1:7" x14ac:dyDescent="0.2">
      <c r="A299" s="181">
        <v>1</v>
      </c>
      <c r="B299" s="208">
        <v>40587</v>
      </c>
      <c r="C299" s="181" t="s">
        <v>190</v>
      </c>
      <c r="D299" s="210" t="s">
        <v>139</v>
      </c>
      <c r="E299" s="193"/>
      <c r="F299" s="181" t="s">
        <v>780</v>
      </c>
      <c r="G299" s="181" t="s">
        <v>798</v>
      </c>
    </row>
    <row r="300" spans="1:7" x14ac:dyDescent="0.2">
      <c r="A300" s="181">
        <v>2</v>
      </c>
      <c r="B300" s="208">
        <v>40621</v>
      </c>
      <c r="C300" s="181" t="s">
        <v>217</v>
      </c>
      <c r="D300" s="210" t="s">
        <v>139</v>
      </c>
      <c r="E300" s="193"/>
      <c r="F300" s="181" t="s">
        <v>799</v>
      </c>
      <c r="G300" s="181" t="s">
        <v>800</v>
      </c>
    </row>
    <row r="301" spans="1:7" x14ac:dyDescent="0.2">
      <c r="A301" s="181">
        <v>3</v>
      </c>
      <c r="B301" s="208">
        <v>40622</v>
      </c>
      <c r="C301" s="181" t="s">
        <v>218</v>
      </c>
      <c r="D301" s="210" t="s">
        <v>139</v>
      </c>
      <c r="E301" s="193"/>
      <c r="F301" s="181" t="s">
        <v>799</v>
      </c>
      <c r="G301" s="181" t="s">
        <v>800</v>
      </c>
    </row>
    <row r="302" spans="1:7" x14ac:dyDescent="0.2">
      <c r="A302" s="181">
        <v>4</v>
      </c>
      <c r="B302" s="208">
        <v>40641</v>
      </c>
      <c r="C302" s="181" t="s">
        <v>220</v>
      </c>
      <c r="D302" s="210"/>
      <c r="E302" s="193"/>
      <c r="F302" s="181" t="s">
        <v>524</v>
      </c>
      <c r="G302" s="181" t="s">
        <v>802</v>
      </c>
    </row>
    <row r="303" spans="1:7" x14ac:dyDescent="0.2">
      <c r="A303" s="181">
        <v>5</v>
      </c>
      <c r="B303" s="208">
        <v>40670</v>
      </c>
      <c r="C303" s="181" t="s">
        <v>222</v>
      </c>
      <c r="D303" s="210" t="s">
        <v>139</v>
      </c>
      <c r="E303" s="193"/>
      <c r="F303" s="181" t="s">
        <v>524</v>
      </c>
      <c r="G303" s="181" t="s">
        <v>801</v>
      </c>
    </row>
    <row r="304" spans="1:7" x14ac:dyDescent="0.2">
      <c r="A304" s="181">
        <v>6</v>
      </c>
      <c r="B304" s="208">
        <v>40671</v>
      </c>
      <c r="C304" s="181" t="s">
        <v>224</v>
      </c>
      <c r="D304" s="210" t="s">
        <v>139</v>
      </c>
      <c r="E304" s="193"/>
      <c r="F304" s="181" t="s">
        <v>524</v>
      </c>
      <c r="G304" s="181" t="s">
        <v>803</v>
      </c>
    </row>
    <row r="305" spans="1:7" x14ac:dyDescent="0.2">
      <c r="A305" s="181">
        <v>7</v>
      </c>
      <c r="B305" s="208">
        <v>40686</v>
      </c>
      <c r="C305" s="180" t="s">
        <v>226</v>
      </c>
      <c r="D305" s="210" t="s">
        <v>227</v>
      </c>
      <c r="E305" s="193"/>
      <c r="F305" s="181" t="s">
        <v>808</v>
      </c>
      <c r="G305" s="181" t="s">
        <v>804</v>
      </c>
    </row>
    <row r="306" spans="1:7" x14ac:dyDescent="0.2">
      <c r="A306" s="181">
        <v>8</v>
      </c>
      <c r="B306" s="208">
        <v>40687</v>
      </c>
      <c r="C306" s="180" t="s">
        <v>228</v>
      </c>
      <c r="D306" s="210" t="s">
        <v>227</v>
      </c>
      <c r="E306" s="193"/>
      <c r="F306" s="181" t="s">
        <v>808</v>
      </c>
      <c r="G306" s="181" t="s">
        <v>805</v>
      </c>
    </row>
    <row r="307" spans="1:7" x14ac:dyDescent="0.2">
      <c r="A307" s="181">
        <v>9</v>
      </c>
      <c r="B307" s="208">
        <v>40691</v>
      </c>
      <c r="C307" s="180" t="s">
        <v>229</v>
      </c>
      <c r="D307" s="210" t="s">
        <v>227</v>
      </c>
      <c r="E307" s="193"/>
      <c r="F307" s="181" t="s">
        <v>524</v>
      </c>
      <c r="G307" s="181" t="s">
        <v>806</v>
      </c>
    </row>
    <row r="308" spans="1:7" x14ac:dyDescent="0.2">
      <c r="A308" s="180">
        <v>10</v>
      </c>
      <c r="B308" s="207">
        <v>40700</v>
      </c>
      <c r="C308" s="180" t="s">
        <v>232</v>
      </c>
      <c r="D308" s="210" t="s">
        <v>139</v>
      </c>
      <c r="E308" s="193"/>
      <c r="F308" s="180" t="s">
        <v>807</v>
      </c>
      <c r="G308" s="180" t="s">
        <v>810</v>
      </c>
    </row>
    <row r="309" spans="1:7" x14ac:dyDescent="0.2">
      <c r="A309" s="180">
        <v>11</v>
      </c>
      <c r="B309" s="207">
        <v>40701</v>
      </c>
      <c r="C309" s="180" t="s">
        <v>234</v>
      </c>
      <c r="D309" s="210" t="s">
        <v>139</v>
      </c>
      <c r="E309" s="193"/>
      <c r="F309" s="180" t="s">
        <v>839</v>
      </c>
      <c r="G309" s="180" t="s">
        <v>811</v>
      </c>
    </row>
    <row r="310" spans="1:7" x14ac:dyDescent="0.2">
      <c r="A310" s="180">
        <v>12</v>
      </c>
      <c r="B310" s="207">
        <v>40703</v>
      </c>
      <c r="C310" s="180" t="s">
        <v>236</v>
      </c>
      <c r="D310" s="210" t="s">
        <v>139</v>
      </c>
      <c r="E310" s="193"/>
      <c r="F310" s="180" t="s">
        <v>809</v>
      </c>
      <c r="G310" s="180" t="s">
        <v>812</v>
      </c>
    </row>
    <row r="311" spans="1:7" x14ac:dyDescent="0.2">
      <c r="A311" s="180">
        <v>13</v>
      </c>
      <c r="B311" s="207">
        <v>40714</v>
      </c>
      <c r="C311" s="180" t="s">
        <v>241</v>
      </c>
      <c r="D311" s="181"/>
      <c r="E311" s="193"/>
      <c r="F311" s="180" t="s">
        <v>524</v>
      </c>
      <c r="G311" s="180" t="s">
        <v>813</v>
      </c>
    </row>
    <row r="312" spans="1:7" x14ac:dyDescent="0.2">
      <c r="A312" s="180">
        <v>14</v>
      </c>
      <c r="B312" s="207">
        <v>40714</v>
      </c>
      <c r="C312" s="180" t="s">
        <v>238</v>
      </c>
      <c r="D312" s="210" t="s">
        <v>244</v>
      </c>
      <c r="E312" s="193"/>
      <c r="F312" s="181" t="s">
        <v>814</v>
      </c>
      <c r="G312" s="181" t="s">
        <v>593</v>
      </c>
    </row>
    <row r="313" spans="1:7" x14ac:dyDescent="0.2">
      <c r="A313" s="180">
        <v>15</v>
      </c>
      <c r="B313" s="207">
        <v>40715</v>
      </c>
      <c r="C313" s="180" t="s">
        <v>240</v>
      </c>
      <c r="D313" s="181"/>
      <c r="E313" s="193"/>
      <c r="F313" s="181" t="s">
        <v>816</v>
      </c>
      <c r="G313" s="181" t="s">
        <v>815</v>
      </c>
    </row>
    <row r="314" spans="1:7" x14ac:dyDescent="0.2">
      <c r="A314" s="180">
        <v>16</v>
      </c>
      <c r="B314" s="207">
        <v>40716</v>
      </c>
      <c r="C314" s="180" t="s">
        <v>243</v>
      </c>
      <c r="D314" s="181"/>
      <c r="E314" s="193"/>
      <c r="F314" s="181" t="s">
        <v>818</v>
      </c>
      <c r="G314" s="181" t="s">
        <v>817</v>
      </c>
    </row>
    <row r="315" spans="1:7" x14ac:dyDescent="0.2">
      <c r="A315" s="181">
        <v>17</v>
      </c>
      <c r="B315" s="208">
        <v>40717</v>
      </c>
      <c r="C315" s="181" t="s">
        <v>245</v>
      </c>
      <c r="D315" s="210" t="s">
        <v>244</v>
      </c>
      <c r="E315" s="193"/>
      <c r="F315" s="181" t="s">
        <v>524</v>
      </c>
      <c r="G315" s="181" t="s">
        <v>246</v>
      </c>
    </row>
    <row r="316" spans="1:7" x14ac:dyDescent="0.2">
      <c r="A316" s="181">
        <v>18</v>
      </c>
      <c r="B316" s="204">
        <v>40718</v>
      </c>
      <c r="C316" s="181" t="s">
        <v>199</v>
      </c>
      <c r="D316" s="210" t="s">
        <v>244</v>
      </c>
      <c r="E316" s="193"/>
      <c r="F316" s="181" t="s">
        <v>816</v>
      </c>
      <c r="G316" s="181" t="s">
        <v>819</v>
      </c>
    </row>
    <row r="317" spans="1:7" x14ac:dyDescent="0.2">
      <c r="A317" s="181">
        <v>19</v>
      </c>
      <c r="B317" s="204">
        <v>40718</v>
      </c>
      <c r="C317" s="181" t="s">
        <v>249</v>
      </c>
      <c r="D317" s="210" t="s">
        <v>244</v>
      </c>
      <c r="E317" s="193"/>
      <c r="F317" s="181" t="s">
        <v>524</v>
      </c>
      <c r="G317" s="181" t="s">
        <v>820</v>
      </c>
    </row>
    <row r="318" spans="1:7" x14ac:dyDescent="0.2">
      <c r="A318" s="181">
        <v>20</v>
      </c>
      <c r="B318" s="204">
        <v>40719</v>
      </c>
      <c r="C318" s="181" t="s">
        <v>250</v>
      </c>
      <c r="D318" s="210" t="s">
        <v>244</v>
      </c>
      <c r="E318" s="193"/>
      <c r="F318" s="181" t="s">
        <v>524</v>
      </c>
      <c r="G318" s="181" t="s">
        <v>821</v>
      </c>
    </row>
    <row r="319" spans="1:7" x14ac:dyDescent="0.2">
      <c r="A319" s="181">
        <v>21</v>
      </c>
      <c r="B319" s="204">
        <v>40719</v>
      </c>
      <c r="C319" s="181" t="s">
        <v>253</v>
      </c>
      <c r="D319" s="210" t="s">
        <v>244</v>
      </c>
      <c r="E319" s="193"/>
      <c r="F319" s="181" t="s">
        <v>524</v>
      </c>
      <c r="G319" s="181" t="s">
        <v>822</v>
      </c>
    </row>
    <row r="320" spans="1:7" x14ac:dyDescent="0.2">
      <c r="A320" s="181">
        <v>22</v>
      </c>
      <c r="B320" s="204">
        <v>40719</v>
      </c>
      <c r="C320" s="181" t="s">
        <v>255</v>
      </c>
      <c r="D320" s="210" t="s">
        <v>244</v>
      </c>
      <c r="E320" s="193"/>
      <c r="F320" s="181" t="s">
        <v>524</v>
      </c>
      <c r="G320" s="181" t="s">
        <v>823</v>
      </c>
    </row>
    <row r="321" spans="1:7" x14ac:dyDescent="0.2">
      <c r="A321" s="181">
        <v>23</v>
      </c>
      <c r="B321" s="204">
        <v>40719</v>
      </c>
      <c r="C321" s="181" t="s">
        <v>257</v>
      </c>
      <c r="D321" s="210" t="s">
        <v>244</v>
      </c>
      <c r="E321" s="193"/>
      <c r="F321" s="181" t="s">
        <v>816</v>
      </c>
      <c r="G321" s="181" t="s">
        <v>824</v>
      </c>
    </row>
    <row r="322" spans="1:7" x14ac:dyDescent="0.2">
      <c r="A322" s="181">
        <v>24</v>
      </c>
      <c r="B322" s="208">
        <v>40720</v>
      </c>
      <c r="C322" s="180" t="s">
        <v>258</v>
      </c>
      <c r="D322" s="210" t="s">
        <v>244</v>
      </c>
      <c r="E322" s="193"/>
      <c r="F322" s="180" t="s">
        <v>524</v>
      </c>
      <c r="G322" s="180" t="s">
        <v>826</v>
      </c>
    </row>
    <row r="323" spans="1:7" x14ac:dyDescent="0.2">
      <c r="A323" s="180">
        <v>25</v>
      </c>
      <c r="B323" s="207">
        <v>40722</v>
      </c>
      <c r="C323" s="180" t="s">
        <v>261</v>
      </c>
      <c r="D323" s="181"/>
      <c r="E323" s="193"/>
      <c r="F323" s="181" t="s">
        <v>839</v>
      </c>
      <c r="G323" s="181" t="s">
        <v>827</v>
      </c>
    </row>
    <row r="324" spans="1:7" x14ac:dyDescent="0.2">
      <c r="A324" s="180">
        <v>26</v>
      </c>
      <c r="B324" s="207">
        <v>40728</v>
      </c>
      <c r="C324" s="180" t="s">
        <v>262</v>
      </c>
      <c r="D324" s="181"/>
      <c r="E324" s="193"/>
      <c r="F324" s="180" t="s">
        <v>809</v>
      </c>
      <c r="G324" s="180" t="s">
        <v>812</v>
      </c>
    </row>
    <row r="325" spans="1:7" x14ac:dyDescent="0.2">
      <c r="A325" s="180">
        <v>27</v>
      </c>
      <c r="B325" s="228">
        <v>40743</v>
      </c>
      <c r="C325" s="180" t="s">
        <v>264</v>
      </c>
      <c r="D325" s="181"/>
      <c r="E325" s="193"/>
      <c r="F325" s="180" t="s">
        <v>524</v>
      </c>
      <c r="G325" s="180" t="s">
        <v>828</v>
      </c>
    </row>
    <row r="326" spans="1:7" x14ac:dyDescent="0.2">
      <c r="A326" s="180">
        <v>28</v>
      </c>
      <c r="B326" s="228">
        <v>40743</v>
      </c>
      <c r="C326" s="180" t="s">
        <v>265</v>
      </c>
      <c r="D326" s="180" t="s">
        <v>267</v>
      </c>
      <c r="E326" s="193"/>
      <c r="F326" s="180" t="s">
        <v>825</v>
      </c>
      <c r="G326" s="180" t="s">
        <v>829</v>
      </c>
    </row>
    <row r="327" spans="1:7" x14ac:dyDescent="0.2">
      <c r="A327" s="180">
        <v>29</v>
      </c>
      <c r="B327" s="207">
        <v>40753</v>
      </c>
      <c r="C327" s="180" t="s">
        <v>269</v>
      </c>
      <c r="D327" s="180" t="s">
        <v>267</v>
      </c>
      <c r="E327" s="193"/>
      <c r="F327" s="180" t="s">
        <v>524</v>
      </c>
      <c r="G327" s="180" t="s">
        <v>830</v>
      </c>
    </row>
    <row r="328" spans="1:7" x14ac:dyDescent="0.2">
      <c r="A328" s="180">
        <v>30</v>
      </c>
      <c r="B328" s="207">
        <v>40802</v>
      </c>
      <c r="C328" s="180" t="s">
        <v>271</v>
      </c>
      <c r="D328" s="181"/>
      <c r="E328" s="193"/>
      <c r="F328" s="181" t="s">
        <v>840</v>
      </c>
      <c r="G328" s="181" t="s">
        <v>831</v>
      </c>
    </row>
    <row r="329" spans="1:7" x14ac:dyDescent="0.2">
      <c r="A329" s="180">
        <v>31</v>
      </c>
      <c r="B329" s="207">
        <v>40803</v>
      </c>
      <c r="C329" s="180" t="s">
        <v>273</v>
      </c>
      <c r="D329" s="181"/>
      <c r="E329" s="193"/>
      <c r="F329" s="181" t="s">
        <v>840</v>
      </c>
      <c r="G329" s="181" t="s">
        <v>832</v>
      </c>
    </row>
    <row r="330" spans="1:7" x14ac:dyDescent="0.2">
      <c r="A330" s="180">
        <v>32</v>
      </c>
      <c r="B330" s="207">
        <v>40810</v>
      </c>
      <c r="C330" s="180" t="s">
        <v>275</v>
      </c>
      <c r="D330" s="210" t="s">
        <v>139</v>
      </c>
      <c r="E330" s="193"/>
      <c r="F330" s="180" t="s">
        <v>524</v>
      </c>
      <c r="G330" s="180" t="s">
        <v>833</v>
      </c>
    </row>
    <row r="331" spans="1:7" x14ac:dyDescent="0.2">
      <c r="A331" s="180">
        <v>33</v>
      </c>
      <c r="B331" s="228">
        <v>40838</v>
      </c>
      <c r="C331" s="180" t="s">
        <v>276</v>
      </c>
      <c r="D331" s="222" t="s">
        <v>278</v>
      </c>
      <c r="E331" s="193"/>
      <c r="F331" s="215" t="s">
        <v>834</v>
      </c>
      <c r="G331" s="215" t="s">
        <v>835</v>
      </c>
    </row>
    <row r="332" spans="1:7" x14ac:dyDescent="0.2">
      <c r="A332" s="180">
        <v>34</v>
      </c>
      <c r="B332" s="228">
        <v>40838</v>
      </c>
      <c r="C332" s="180" t="s">
        <v>37</v>
      </c>
      <c r="D332" s="222" t="s">
        <v>278</v>
      </c>
      <c r="E332" s="193"/>
      <c r="F332" s="215" t="s">
        <v>834</v>
      </c>
      <c r="G332" s="215" t="s">
        <v>835</v>
      </c>
    </row>
    <row r="333" spans="1:7" x14ac:dyDescent="0.2">
      <c r="A333" s="180">
        <v>35</v>
      </c>
      <c r="B333" s="228">
        <v>40845</v>
      </c>
      <c r="C333" s="180" t="s">
        <v>276</v>
      </c>
      <c r="D333" s="222" t="s">
        <v>278</v>
      </c>
      <c r="E333" s="193"/>
      <c r="F333" s="215" t="s">
        <v>834</v>
      </c>
      <c r="G333" s="215" t="s">
        <v>835</v>
      </c>
    </row>
    <row r="334" spans="1:7" x14ac:dyDescent="0.2">
      <c r="A334" s="180">
        <v>36</v>
      </c>
      <c r="B334" s="228">
        <v>40845</v>
      </c>
      <c r="C334" s="180" t="s">
        <v>277</v>
      </c>
      <c r="D334" s="222" t="s">
        <v>278</v>
      </c>
      <c r="E334" s="193"/>
      <c r="F334" s="215" t="s">
        <v>834</v>
      </c>
      <c r="G334" s="215" t="s">
        <v>835</v>
      </c>
    </row>
    <row r="335" spans="1:7" x14ac:dyDescent="0.2">
      <c r="A335" s="180">
        <v>37</v>
      </c>
      <c r="B335" s="228">
        <v>40847</v>
      </c>
      <c r="C335" s="180" t="s">
        <v>276</v>
      </c>
      <c r="D335" s="222" t="s">
        <v>278</v>
      </c>
      <c r="E335" s="193"/>
      <c r="F335" s="215" t="s">
        <v>834</v>
      </c>
      <c r="G335" s="215" t="s">
        <v>835</v>
      </c>
    </row>
    <row r="336" spans="1:7" ht="12.75" customHeight="1" x14ac:dyDescent="0.2">
      <c r="A336" s="180">
        <v>38</v>
      </c>
      <c r="B336" s="228">
        <v>40847</v>
      </c>
      <c r="C336" s="180" t="s">
        <v>277</v>
      </c>
      <c r="D336" s="222" t="s">
        <v>278</v>
      </c>
      <c r="E336" s="193"/>
      <c r="F336" s="215" t="s">
        <v>834</v>
      </c>
      <c r="G336" s="215" t="s">
        <v>835</v>
      </c>
    </row>
    <row r="337" spans="1:7" x14ac:dyDescent="0.2">
      <c r="A337" s="180">
        <v>39</v>
      </c>
      <c r="B337" s="228">
        <v>40848</v>
      </c>
      <c r="C337" s="180" t="s">
        <v>276</v>
      </c>
      <c r="D337" s="222" t="s">
        <v>278</v>
      </c>
      <c r="E337" s="193"/>
      <c r="F337" s="215" t="s">
        <v>834</v>
      </c>
      <c r="G337" s="215" t="s">
        <v>835</v>
      </c>
    </row>
    <row r="338" spans="1:7" x14ac:dyDescent="0.2">
      <c r="A338" s="180">
        <v>40</v>
      </c>
      <c r="B338" s="228">
        <v>40848</v>
      </c>
      <c r="C338" s="180" t="s">
        <v>141</v>
      </c>
      <c r="D338" s="222" t="s">
        <v>278</v>
      </c>
      <c r="E338" s="193"/>
      <c r="F338" s="215" t="s">
        <v>834</v>
      </c>
      <c r="G338" s="215" t="s">
        <v>835</v>
      </c>
    </row>
    <row r="339" spans="1:7" x14ac:dyDescent="0.2">
      <c r="A339" s="180">
        <v>41</v>
      </c>
      <c r="B339" s="228">
        <v>40849</v>
      </c>
      <c r="C339" s="180" t="s">
        <v>276</v>
      </c>
      <c r="D339" s="222" t="s">
        <v>278</v>
      </c>
      <c r="E339" s="193"/>
      <c r="F339" s="215" t="s">
        <v>834</v>
      </c>
      <c r="G339" s="215" t="s">
        <v>835</v>
      </c>
    </row>
    <row r="340" spans="1:7" x14ac:dyDescent="0.2">
      <c r="A340" s="180">
        <v>42</v>
      </c>
      <c r="B340" s="228">
        <v>40849</v>
      </c>
      <c r="C340" s="180" t="s">
        <v>277</v>
      </c>
      <c r="D340" s="222" t="s">
        <v>278</v>
      </c>
      <c r="E340" s="193"/>
      <c r="F340" s="215" t="s">
        <v>834</v>
      </c>
      <c r="G340" s="215" t="s">
        <v>835</v>
      </c>
    </row>
    <row r="341" spans="1:7" x14ac:dyDescent="0.2">
      <c r="A341" s="180">
        <v>43</v>
      </c>
      <c r="B341" s="207">
        <v>40862</v>
      </c>
      <c r="C341" s="180" t="s">
        <v>281</v>
      </c>
      <c r="D341" s="210" t="s">
        <v>139</v>
      </c>
      <c r="E341" s="193"/>
      <c r="F341" s="180" t="s">
        <v>838</v>
      </c>
      <c r="G341" s="180" t="s">
        <v>837</v>
      </c>
    </row>
    <row r="342" spans="1:7" x14ac:dyDescent="0.2">
      <c r="A342" s="180">
        <v>44</v>
      </c>
      <c r="B342" s="228">
        <v>40868</v>
      </c>
      <c r="C342" s="180" t="s">
        <v>283</v>
      </c>
      <c r="D342" s="222" t="s">
        <v>278</v>
      </c>
      <c r="E342" s="193"/>
      <c r="F342" s="215" t="s">
        <v>524</v>
      </c>
      <c r="G342" s="215" t="s">
        <v>836</v>
      </c>
    </row>
    <row r="343" spans="1:7" x14ac:dyDescent="0.2">
      <c r="A343" s="180">
        <v>45</v>
      </c>
      <c r="B343" s="228">
        <v>40868</v>
      </c>
      <c r="C343" s="180" t="s">
        <v>284</v>
      </c>
      <c r="D343" s="222" t="s">
        <v>278</v>
      </c>
      <c r="E343" s="193"/>
      <c r="F343" s="215" t="s">
        <v>524</v>
      </c>
      <c r="G343" s="215" t="s">
        <v>836</v>
      </c>
    </row>
    <row r="344" spans="1:7" x14ac:dyDescent="0.2">
      <c r="A344" s="353">
        <v>2010</v>
      </c>
      <c r="B344" s="353"/>
      <c r="C344" s="353"/>
      <c r="D344" s="353"/>
      <c r="E344" s="353"/>
      <c r="F344" s="353"/>
      <c r="G344" s="353"/>
    </row>
    <row r="345" spans="1:7" x14ac:dyDescent="0.2">
      <c r="A345" s="181">
        <v>1</v>
      </c>
      <c r="B345" s="208">
        <v>40259</v>
      </c>
      <c r="C345" s="181" t="s">
        <v>158</v>
      </c>
      <c r="D345" s="210" t="s">
        <v>139</v>
      </c>
      <c r="E345" s="193"/>
      <c r="F345" s="210" t="s">
        <v>524</v>
      </c>
      <c r="G345" s="210" t="s">
        <v>157</v>
      </c>
    </row>
    <row r="346" spans="1:7" x14ac:dyDescent="0.2">
      <c r="A346" s="181">
        <v>2</v>
      </c>
      <c r="B346" s="208">
        <v>40265</v>
      </c>
      <c r="C346" s="181" t="s">
        <v>160</v>
      </c>
      <c r="D346" s="210" t="s">
        <v>139</v>
      </c>
      <c r="E346" s="193"/>
      <c r="F346" s="210" t="s">
        <v>524</v>
      </c>
      <c r="G346" s="210" t="s">
        <v>157</v>
      </c>
    </row>
    <row r="347" spans="1:7" x14ac:dyDescent="0.2">
      <c r="A347" s="181">
        <v>3</v>
      </c>
      <c r="B347" s="208">
        <v>40282</v>
      </c>
      <c r="C347" s="180" t="s">
        <v>162</v>
      </c>
      <c r="D347" s="210" t="s">
        <v>139</v>
      </c>
      <c r="E347" s="193"/>
      <c r="F347" s="181" t="s">
        <v>808</v>
      </c>
      <c r="G347" s="181" t="s">
        <v>841</v>
      </c>
    </row>
    <row r="348" spans="1:7" x14ac:dyDescent="0.2">
      <c r="A348" s="181">
        <v>4</v>
      </c>
      <c r="B348" s="208">
        <v>40283</v>
      </c>
      <c r="C348" s="181" t="s">
        <v>162</v>
      </c>
      <c r="D348" s="210" t="s">
        <v>139</v>
      </c>
      <c r="E348" s="193"/>
      <c r="F348" s="181" t="s">
        <v>808</v>
      </c>
      <c r="G348" s="181" t="s">
        <v>841</v>
      </c>
    </row>
    <row r="349" spans="1:7" x14ac:dyDescent="0.2">
      <c r="A349" s="181">
        <v>5</v>
      </c>
      <c r="B349" s="208">
        <v>40284</v>
      </c>
      <c r="C349" s="181" t="s">
        <v>162</v>
      </c>
      <c r="D349" s="210" t="s">
        <v>139</v>
      </c>
      <c r="E349" s="193"/>
      <c r="F349" s="181" t="s">
        <v>808</v>
      </c>
      <c r="G349" s="181" t="s">
        <v>841</v>
      </c>
    </row>
    <row r="350" spans="1:7" x14ac:dyDescent="0.2">
      <c r="A350" s="181">
        <v>6</v>
      </c>
      <c r="B350" s="208">
        <v>40286</v>
      </c>
      <c r="C350" s="181" t="s">
        <v>165</v>
      </c>
      <c r="D350" s="210" t="s">
        <v>139</v>
      </c>
      <c r="E350" s="193"/>
      <c r="F350" s="181" t="s">
        <v>808</v>
      </c>
      <c r="G350" s="181" t="s">
        <v>842</v>
      </c>
    </row>
    <row r="351" spans="1:7" x14ac:dyDescent="0.2">
      <c r="A351" s="181">
        <v>7</v>
      </c>
      <c r="B351" s="208">
        <v>40287</v>
      </c>
      <c r="C351" s="181" t="s">
        <v>162</v>
      </c>
      <c r="D351" s="210" t="s">
        <v>139</v>
      </c>
      <c r="E351" s="193"/>
      <c r="F351" s="181" t="s">
        <v>808</v>
      </c>
      <c r="G351" s="181" t="s">
        <v>841</v>
      </c>
    </row>
    <row r="352" spans="1:7" x14ac:dyDescent="0.2">
      <c r="A352" s="181">
        <v>8</v>
      </c>
      <c r="B352" s="208">
        <v>40289</v>
      </c>
      <c r="C352" s="181" t="s">
        <v>162</v>
      </c>
      <c r="D352" s="210" t="s">
        <v>139</v>
      </c>
      <c r="E352" s="193"/>
      <c r="F352" s="181" t="s">
        <v>808</v>
      </c>
      <c r="G352" s="181" t="s">
        <v>841</v>
      </c>
    </row>
    <row r="353" spans="1:7" x14ac:dyDescent="0.2">
      <c r="A353" s="181">
        <v>9</v>
      </c>
      <c r="B353" s="208">
        <v>40291</v>
      </c>
      <c r="C353" s="181" t="s">
        <v>162</v>
      </c>
      <c r="D353" s="210" t="s">
        <v>139</v>
      </c>
      <c r="E353" s="193"/>
      <c r="F353" s="181" t="s">
        <v>808</v>
      </c>
      <c r="G353" s="181" t="s">
        <v>841</v>
      </c>
    </row>
    <row r="354" spans="1:7" x14ac:dyDescent="0.2">
      <c r="A354" s="181">
        <v>10</v>
      </c>
      <c r="B354" s="208">
        <v>40292</v>
      </c>
      <c r="C354" s="181" t="s">
        <v>167</v>
      </c>
      <c r="D354" s="210" t="s">
        <v>139</v>
      </c>
      <c r="E354" s="193"/>
      <c r="F354" s="181" t="s">
        <v>780</v>
      </c>
      <c r="G354" s="181" t="s">
        <v>843</v>
      </c>
    </row>
    <row r="355" spans="1:7" x14ac:dyDescent="0.2">
      <c r="A355" s="181">
        <v>11</v>
      </c>
      <c r="B355" s="208">
        <v>40296</v>
      </c>
      <c r="C355" s="181" t="s">
        <v>162</v>
      </c>
      <c r="D355" s="210" t="s">
        <v>139</v>
      </c>
      <c r="E355" s="193"/>
      <c r="F355" s="181" t="s">
        <v>808</v>
      </c>
      <c r="G355" s="181" t="s">
        <v>841</v>
      </c>
    </row>
    <row r="356" spans="1:7" x14ac:dyDescent="0.2">
      <c r="A356" s="181">
        <v>12</v>
      </c>
      <c r="B356" s="208">
        <v>40299</v>
      </c>
      <c r="C356" s="181" t="s">
        <v>169</v>
      </c>
      <c r="D356" s="210" t="s">
        <v>139</v>
      </c>
      <c r="E356" s="193"/>
      <c r="F356" s="181" t="s">
        <v>845</v>
      </c>
      <c r="G356" s="181" t="s">
        <v>844</v>
      </c>
    </row>
    <row r="357" spans="1:7" x14ac:dyDescent="0.2">
      <c r="A357" s="181">
        <v>13</v>
      </c>
      <c r="B357" s="208">
        <v>40300</v>
      </c>
      <c r="C357" s="181" t="s">
        <v>171</v>
      </c>
      <c r="D357" s="210" t="s">
        <v>139</v>
      </c>
      <c r="E357" s="193"/>
      <c r="F357" s="181" t="s">
        <v>846</v>
      </c>
      <c r="G357" s="181" t="s">
        <v>849</v>
      </c>
    </row>
    <row r="358" spans="1:7" x14ac:dyDescent="0.2">
      <c r="A358" s="181">
        <v>14</v>
      </c>
      <c r="B358" s="208">
        <v>40307</v>
      </c>
      <c r="C358" s="181" t="s">
        <v>73</v>
      </c>
      <c r="D358" s="210" t="s">
        <v>139</v>
      </c>
      <c r="E358" s="193"/>
      <c r="F358" s="181" t="s">
        <v>847</v>
      </c>
      <c r="G358" s="181" t="s">
        <v>848</v>
      </c>
    </row>
    <row r="359" spans="1:7" x14ac:dyDescent="0.2">
      <c r="A359" s="181">
        <v>15</v>
      </c>
      <c r="B359" s="208">
        <v>40308</v>
      </c>
      <c r="C359" s="180" t="s">
        <v>162</v>
      </c>
      <c r="D359" s="210" t="s">
        <v>139</v>
      </c>
      <c r="E359" s="193"/>
      <c r="F359" s="181" t="s">
        <v>808</v>
      </c>
      <c r="G359" s="181" t="s">
        <v>841</v>
      </c>
    </row>
    <row r="360" spans="1:7" x14ac:dyDescent="0.2">
      <c r="A360" s="181">
        <v>16</v>
      </c>
      <c r="B360" s="208">
        <v>40315</v>
      </c>
      <c r="C360" s="180" t="s">
        <v>162</v>
      </c>
      <c r="D360" s="210" t="s">
        <v>139</v>
      </c>
      <c r="E360" s="193"/>
      <c r="F360" s="181" t="s">
        <v>808</v>
      </c>
      <c r="G360" s="181" t="s">
        <v>841</v>
      </c>
    </row>
    <row r="361" spans="1:7" x14ac:dyDescent="0.2">
      <c r="A361" s="181">
        <v>17</v>
      </c>
      <c r="B361" s="208">
        <v>40316</v>
      </c>
      <c r="C361" s="180" t="s">
        <v>162</v>
      </c>
      <c r="D361" s="210" t="s">
        <v>139</v>
      </c>
      <c r="E361" s="193"/>
      <c r="F361" s="181" t="s">
        <v>808</v>
      </c>
      <c r="G361" s="181" t="s">
        <v>841</v>
      </c>
    </row>
    <row r="362" spans="1:7" x14ac:dyDescent="0.2">
      <c r="A362" s="181">
        <v>18</v>
      </c>
      <c r="B362" s="208">
        <v>40321</v>
      </c>
      <c r="C362" s="180" t="s">
        <v>173</v>
      </c>
      <c r="D362" s="210" t="s">
        <v>139</v>
      </c>
      <c r="E362" s="193"/>
      <c r="F362" s="181" t="s">
        <v>808</v>
      </c>
      <c r="G362" s="181" t="s">
        <v>841</v>
      </c>
    </row>
    <row r="363" spans="1:7" x14ac:dyDescent="0.2">
      <c r="A363" s="181">
        <v>19</v>
      </c>
      <c r="B363" s="208">
        <v>40321</v>
      </c>
      <c r="C363" s="180" t="s">
        <v>175</v>
      </c>
      <c r="D363" s="210" t="s">
        <v>139</v>
      </c>
      <c r="E363" s="193"/>
      <c r="F363" s="181" t="s">
        <v>851</v>
      </c>
      <c r="G363" s="181" t="s">
        <v>850</v>
      </c>
    </row>
    <row r="364" spans="1:7" x14ac:dyDescent="0.2">
      <c r="A364" s="181">
        <v>20</v>
      </c>
      <c r="B364" s="208">
        <v>40322</v>
      </c>
      <c r="C364" s="180" t="s">
        <v>177</v>
      </c>
      <c r="D364" s="210" t="s">
        <v>139</v>
      </c>
      <c r="E364" s="193"/>
      <c r="F364" s="181" t="s">
        <v>808</v>
      </c>
      <c r="G364" s="181" t="s">
        <v>805</v>
      </c>
    </row>
    <row r="365" spans="1:7" x14ac:dyDescent="0.2">
      <c r="A365" s="181">
        <v>21</v>
      </c>
      <c r="B365" s="208">
        <v>40332</v>
      </c>
      <c r="C365" s="181" t="s">
        <v>179</v>
      </c>
      <c r="D365" s="210" t="s">
        <v>139</v>
      </c>
      <c r="E365" s="193"/>
      <c r="F365" s="181" t="s">
        <v>807</v>
      </c>
      <c r="G365" s="181" t="s">
        <v>852</v>
      </c>
    </row>
    <row r="366" spans="1:7" x14ac:dyDescent="0.2">
      <c r="A366" s="181">
        <v>22</v>
      </c>
      <c r="B366" s="208">
        <v>40334</v>
      </c>
      <c r="C366" s="181" t="s">
        <v>179</v>
      </c>
      <c r="D366" s="210" t="s">
        <v>139</v>
      </c>
      <c r="E366" s="193"/>
      <c r="F366" s="181" t="s">
        <v>807</v>
      </c>
      <c r="G366" s="181" t="s">
        <v>853</v>
      </c>
    </row>
    <row r="367" spans="1:7" x14ac:dyDescent="0.2">
      <c r="A367" s="181">
        <v>23</v>
      </c>
      <c r="B367" s="208">
        <v>40335</v>
      </c>
      <c r="C367" s="181" t="s">
        <v>182</v>
      </c>
      <c r="D367" s="210" t="s">
        <v>139</v>
      </c>
      <c r="E367" s="193"/>
      <c r="F367" s="181" t="s">
        <v>854</v>
      </c>
      <c r="G367" s="181" t="s">
        <v>860</v>
      </c>
    </row>
    <row r="368" spans="1:7" x14ac:dyDescent="0.2">
      <c r="A368" s="181">
        <v>24</v>
      </c>
      <c r="B368" s="208">
        <v>40348</v>
      </c>
      <c r="C368" s="181" t="s">
        <v>184</v>
      </c>
      <c r="D368" s="210" t="s">
        <v>139</v>
      </c>
      <c r="E368" s="193"/>
      <c r="F368" s="181" t="s">
        <v>855</v>
      </c>
      <c r="G368" s="181" t="s">
        <v>861</v>
      </c>
    </row>
    <row r="369" spans="1:7" x14ac:dyDescent="0.2">
      <c r="A369" s="181">
        <v>25</v>
      </c>
      <c r="B369" s="208">
        <v>40349</v>
      </c>
      <c r="C369" s="181" t="s">
        <v>71</v>
      </c>
      <c r="D369" s="210" t="s">
        <v>139</v>
      </c>
      <c r="E369" s="193"/>
      <c r="F369" s="181" t="s">
        <v>814</v>
      </c>
      <c r="G369" s="181" t="s">
        <v>593</v>
      </c>
    </row>
    <row r="370" spans="1:7" x14ac:dyDescent="0.2">
      <c r="A370" s="181">
        <v>26</v>
      </c>
      <c r="B370" s="208">
        <v>40352</v>
      </c>
      <c r="C370" s="181" t="s">
        <v>71</v>
      </c>
      <c r="D370" s="210" t="s">
        <v>139</v>
      </c>
      <c r="E370" s="193"/>
      <c r="F370" s="181" t="s">
        <v>858</v>
      </c>
      <c r="G370" s="181" t="s">
        <v>862</v>
      </c>
    </row>
    <row r="371" spans="1:7" x14ac:dyDescent="0.2">
      <c r="A371" s="181">
        <v>27</v>
      </c>
      <c r="B371" s="208">
        <v>40353</v>
      </c>
      <c r="C371" s="181" t="s">
        <v>93</v>
      </c>
      <c r="D371" s="210" t="s">
        <v>139</v>
      </c>
      <c r="E371" s="193"/>
      <c r="F371" s="181" t="s">
        <v>858</v>
      </c>
      <c r="G371" s="181" t="s">
        <v>863</v>
      </c>
    </row>
    <row r="372" spans="1:7" x14ac:dyDescent="0.2">
      <c r="A372" s="181">
        <v>28</v>
      </c>
      <c r="B372" s="208">
        <v>40363</v>
      </c>
      <c r="C372" s="181" t="s">
        <v>189</v>
      </c>
      <c r="D372" s="210" t="s">
        <v>139</v>
      </c>
      <c r="E372" s="193"/>
      <c r="F372" s="181" t="s">
        <v>859</v>
      </c>
      <c r="G372" s="181" t="s">
        <v>864</v>
      </c>
    </row>
    <row r="373" spans="1:7" x14ac:dyDescent="0.2">
      <c r="A373" s="181">
        <v>29</v>
      </c>
      <c r="B373" s="208">
        <v>40384</v>
      </c>
      <c r="C373" s="181" t="s">
        <v>190</v>
      </c>
      <c r="D373" s="210" t="s">
        <v>139</v>
      </c>
      <c r="E373" s="193"/>
      <c r="F373" s="181" t="s">
        <v>859</v>
      </c>
      <c r="G373" s="181" t="s">
        <v>864</v>
      </c>
    </row>
    <row r="374" spans="1:7" x14ac:dyDescent="0.2">
      <c r="A374" s="181">
        <v>30</v>
      </c>
      <c r="B374" s="208">
        <v>40390</v>
      </c>
      <c r="C374" s="180" t="s">
        <v>194</v>
      </c>
      <c r="D374" s="210"/>
      <c r="E374" s="193"/>
      <c r="F374" s="180" t="s">
        <v>856</v>
      </c>
      <c r="G374" s="180" t="s">
        <v>865</v>
      </c>
    </row>
    <row r="375" spans="1:7" x14ac:dyDescent="0.2">
      <c r="A375" s="181">
        <v>31</v>
      </c>
      <c r="B375" s="208">
        <v>40394</v>
      </c>
      <c r="C375" s="181" t="s">
        <v>192</v>
      </c>
      <c r="D375" s="210" t="s">
        <v>139</v>
      </c>
      <c r="E375" s="193"/>
      <c r="F375" s="181" t="s">
        <v>857</v>
      </c>
      <c r="G375" s="181" t="s">
        <v>866</v>
      </c>
    </row>
    <row r="376" spans="1:7" x14ac:dyDescent="0.2">
      <c r="A376" s="181">
        <v>32</v>
      </c>
      <c r="B376" s="208">
        <v>40400</v>
      </c>
      <c r="C376" s="181" t="s">
        <v>196</v>
      </c>
      <c r="D376" s="210" t="s">
        <v>139</v>
      </c>
      <c r="E376" s="193"/>
      <c r="F376" s="181" t="s">
        <v>855</v>
      </c>
      <c r="G376" s="181" t="s">
        <v>867</v>
      </c>
    </row>
    <row r="377" spans="1:7" x14ac:dyDescent="0.2">
      <c r="A377" s="181">
        <v>33</v>
      </c>
      <c r="B377" s="208">
        <v>40404</v>
      </c>
      <c r="C377" s="181" t="s">
        <v>197</v>
      </c>
      <c r="D377" s="210" t="s">
        <v>139</v>
      </c>
      <c r="E377" s="193"/>
      <c r="F377" s="181" t="s">
        <v>859</v>
      </c>
      <c r="G377" s="181" t="s">
        <v>864</v>
      </c>
    </row>
    <row r="378" spans="1:7" x14ac:dyDescent="0.2">
      <c r="A378" s="181">
        <v>34</v>
      </c>
      <c r="B378" s="208">
        <v>40419</v>
      </c>
      <c r="C378" s="181" t="s">
        <v>189</v>
      </c>
      <c r="D378" s="210" t="s">
        <v>139</v>
      </c>
      <c r="E378" s="193"/>
      <c r="F378" s="181" t="s">
        <v>859</v>
      </c>
      <c r="G378" s="181" t="s">
        <v>864</v>
      </c>
    </row>
    <row r="379" spans="1:7" x14ac:dyDescent="0.2">
      <c r="A379" s="181">
        <v>35</v>
      </c>
      <c r="B379" s="208">
        <v>40425</v>
      </c>
      <c r="C379" s="181" t="s">
        <v>190</v>
      </c>
      <c r="D379" s="210" t="s">
        <v>139</v>
      </c>
      <c r="E379" s="193"/>
      <c r="F379" s="181" t="s">
        <v>859</v>
      </c>
      <c r="G379" s="181" t="s">
        <v>864</v>
      </c>
    </row>
    <row r="380" spans="1:7" x14ac:dyDescent="0.2">
      <c r="A380" s="181">
        <v>36</v>
      </c>
      <c r="B380" s="208">
        <v>40431</v>
      </c>
      <c r="C380" s="181" t="s">
        <v>199</v>
      </c>
      <c r="D380" s="210"/>
      <c r="E380" s="193"/>
      <c r="F380" s="181" t="s">
        <v>868</v>
      </c>
      <c r="G380" s="181" t="s">
        <v>871</v>
      </c>
    </row>
    <row r="381" spans="1:7" x14ac:dyDescent="0.2">
      <c r="A381" s="181">
        <v>37</v>
      </c>
      <c r="B381" s="208">
        <v>40431</v>
      </c>
      <c r="C381" s="181" t="s">
        <v>200</v>
      </c>
      <c r="D381" s="210"/>
      <c r="E381" s="193"/>
      <c r="F381" s="181" t="s">
        <v>869</v>
      </c>
      <c r="G381" s="181" t="s">
        <v>870</v>
      </c>
    </row>
    <row r="382" spans="1:7" x14ac:dyDescent="0.2">
      <c r="A382" s="181">
        <v>38</v>
      </c>
      <c r="B382" s="208">
        <v>40448</v>
      </c>
      <c r="C382" s="181" t="s">
        <v>203</v>
      </c>
      <c r="D382" s="210"/>
      <c r="E382" s="193"/>
      <c r="F382" s="181" t="s">
        <v>857</v>
      </c>
      <c r="G382" s="181" t="s">
        <v>872</v>
      </c>
    </row>
    <row r="383" spans="1:7" x14ac:dyDescent="0.2">
      <c r="A383" s="181">
        <v>39</v>
      </c>
      <c r="B383" s="208">
        <v>40467</v>
      </c>
      <c r="C383" s="181" t="s">
        <v>204</v>
      </c>
      <c r="D383" s="210" t="s">
        <v>139</v>
      </c>
      <c r="E383" s="193"/>
      <c r="F383" s="181" t="s">
        <v>876</v>
      </c>
      <c r="G383" s="181" t="s">
        <v>873</v>
      </c>
    </row>
    <row r="384" spans="1:7" x14ac:dyDescent="0.2">
      <c r="A384" s="181">
        <v>40</v>
      </c>
      <c r="B384" s="208">
        <v>40471</v>
      </c>
      <c r="C384" s="181" t="s">
        <v>206</v>
      </c>
      <c r="D384" s="210"/>
      <c r="E384" s="193"/>
      <c r="F384" s="181" t="s">
        <v>524</v>
      </c>
      <c r="G384" s="181" t="s">
        <v>874</v>
      </c>
    </row>
    <row r="385" spans="1:7" x14ac:dyDescent="0.2">
      <c r="A385" s="181">
        <v>41</v>
      </c>
      <c r="B385" s="208">
        <v>40472</v>
      </c>
      <c r="C385" s="181" t="s">
        <v>209</v>
      </c>
      <c r="D385" s="210"/>
      <c r="E385" s="193"/>
      <c r="F385" s="181" t="s">
        <v>524</v>
      </c>
      <c r="G385" s="181" t="s">
        <v>875</v>
      </c>
    </row>
    <row r="386" spans="1:7" x14ac:dyDescent="0.2">
      <c r="A386" s="181">
        <v>42</v>
      </c>
      <c r="B386" s="208">
        <v>40474</v>
      </c>
      <c r="C386" s="181" t="s">
        <v>211</v>
      </c>
      <c r="D386" s="210" t="s">
        <v>139</v>
      </c>
      <c r="E386" s="193"/>
      <c r="F386" s="180" t="s">
        <v>877</v>
      </c>
      <c r="G386" s="180" t="s">
        <v>835</v>
      </c>
    </row>
    <row r="387" spans="1:7" x14ac:dyDescent="0.2">
      <c r="A387" s="181">
        <v>43</v>
      </c>
      <c r="B387" s="208">
        <v>40481</v>
      </c>
      <c r="C387" s="181" t="s">
        <v>211</v>
      </c>
      <c r="D387" s="210" t="s">
        <v>139</v>
      </c>
      <c r="E387" s="193"/>
      <c r="F387" s="180" t="s">
        <v>877</v>
      </c>
      <c r="G387" s="180" t="s">
        <v>835</v>
      </c>
    </row>
    <row r="388" spans="1:7" x14ac:dyDescent="0.2">
      <c r="A388" s="181">
        <v>44</v>
      </c>
      <c r="B388" s="208">
        <v>40483</v>
      </c>
      <c r="C388" s="181" t="s">
        <v>211</v>
      </c>
      <c r="D388" s="210" t="s">
        <v>139</v>
      </c>
      <c r="E388" s="193"/>
      <c r="F388" s="180" t="s">
        <v>877</v>
      </c>
      <c r="G388" s="180" t="s">
        <v>835</v>
      </c>
    </row>
    <row r="389" spans="1:7" x14ac:dyDescent="0.2">
      <c r="A389" s="181">
        <v>45</v>
      </c>
      <c r="B389" s="208">
        <v>40484</v>
      </c>
      <c r="C389" s="181" t="s">
        <v>162</v>
      </c>
      <c r="D389" s="210" t="s">
        <v>139</v>
      </c>
      <c r="E389" s="193"/>
      <c r="F389" s="180" t="s">
        <v>877</v>
      </c>
      <c r="G389" s="180" t="s">
        <v>835</v>
      </c>
    </row>
    <row r="390" spans="1:7" x14ac:dyDescent="0.2">
      <c r="A390" s="181">
        <v>46</v>
      </c>
      <c r="B390" s="208">
        <v>40496</v>
      </c>
      <c r="C390" s="181" t="s">
        <v>213</v>
      </c>
      <c r="D390" s="210" t="s">
        <v>139</v>
      </c>
      <c r="E390" s="193"/>
      <c r="F390" s="180" t="s">
        <v>524</v>
      </c>
      <c r="G390" s="180" t="s">
        <v>880</v>
      </c>
    </row>
    <row r="391" spans="1:7" x14ac:dyDescent="0.2">
      <c r="A391" s="181">
        <v>47</v>
      </c>
      <c r="B391" s="208">
        <v>40512</v>
      </c>
      <c r="C391" s="181" t="s">
        <v>20</v>
      </c>
      <c r="D391" s="210"/>
      <c r="E391" s="193"/>
      <c r="F391" s="180" t="s">
        <v>524</v>
      </c>
      <c r="G391" s="180" t="s">
        <v>879</v>
      </c>
    </row>
    <row r="392" spans="1:7" x14ac:dyDescent="0.2">
      <c r="A392" s="353">
        <v>2009</v>
      </c>
      <c r="B392" s="353"/>
      <c r="C392" s="353"/>
      <c r="D392" s="353"/>
      <c r="E392" s="353"/>
      <c r="F392" s="353"/>
      <c r="G392" s="353"/>
    </row>
    <row r="393" spans="1:7" x14ac:dyDescent="0.2">
      <c r="A393" s="181">
        <v>1</v>
      </c>
      <c r="B393" s="208">
        <v>39879</v>
      </c>
      <c r="C393" s="181" t="s">
        <v>152</v>
      </c>
      <c r="D393" s="210" t="s">
        <v>139</v>
      </c>
      <c r="E393" s="193"/>
      <c r="F393" s="210" t="s">
        <v>855</v>
      </c>
      <c r="G393" s="210" t="s">
        <v>878</v>
      </c>
    </row>
    <row r="394" spans="1:7" x14ac:dyDescent="0.2">
      <c r="A394" s="181">
        <v>2</v>
      </c>
      <c r="B394" s="208">
        <v>40111</v>
      </c>
      <c r="C394" s="181" t="s">
        <v>154</v>
      </c>
      <c r="D394" s="210" t="s">
        <v>139</v>
      </c>
      <c r="E394" s="193"/>
      <c r="F394" s="181" t="s">
        <v>881</v>
      </c>
      <c r="G394" s="181" t="s">
        <v>882</v>
      </c>
    </row>
    <row r="395" spans="1:7" x14ac:dyDescent="0.2">
      <c r="A395" s="181">
        <v>3</v>
      </c>
      <c r="B395" s="208">
        <v>40118</v>
      </c>
      <c r="C395" s="181" t="s">
        <v>155</v>
      </c>
      <c r="D395" s="210" t="s">
        <v>139</v>
      </c>
      <c r="E395" s="193"/>
      <c r="F395" s="181" t="s">
        <v>881</v>
      </c>
      <c r="G395" s="181" t="s">
        <v>882</v>
      </c>
    </row>
    <row r="396" spans="1:7" x14ac:dyDescent="0.2">
      <c r="A396" s="181">
        <v>4</v>
      </c>
      <c r="B396" s="208">
        <v>40119</v>
      </c>
      <c r="C396" s="181" t="s">
        <v>156</v>
      </c>
      <c r="D396" s="210" t="s">
        <v>139</v>
      </c>
      <c r="E396" s="193"/>
      <c r="F396" s="181" t="s">
        <v>881</v>
      </c>
      <c r="G396" s="181" t="s">
        <v>882</v>
      </c>
    </row>
    <row r="397" spans="1:7" x14ac:dyDescent="0.2">
      <c r="A397" s="353">
        <v>2008</v>
      </c>
      <c r="B397" s="353"/>
      <c r="C397" s="353"/>
      <c r="D397" s="353"/>
      <c r="E397" s="353"/>
      <c r="F397" s="353"/>
      <c r="G397" s="353"/>
    </row>
    <row r="398" spans="1:7" x14ac:dyDescent="0.2">
      <c r="A398" s="181">
        <v>1</v>
      </c>
      <c r="B398" s="208">
        <v>39623</v>
      </c>
      <c r="C398" s="181" t="s">
        <v>143</v>
      </c>
      <c r="D398" s="210" t="s">
        <v>139</v>
      </c>
      <c r="E398" s="193"/>
      <c r="F398" s="210" t="s">
        <v>524</v>
      </c>
      <c r="G398" s="229" t="s">
        <v>142</v>
      </c>
    </row>
    <row r="399" spans="1:7" x14ac:dyDescent="0.2">
      <c r="A399" s="181">
        <v>2</v>
      </c>
      <c r="B399" s="208">
        <v>39775</v>
      </c>
      <c r="C399" s="181" t="s">
        <v>146</v>
      </c>
      <c r="D399" s="210" t="s">
        <v>139</v>
      </c>
      <c r="E399" s="193"/>
      <c r="F399" s="181" t="s">
        <v>524</v>
      </c>
      <c r="G399" s="181" t="s">
        <v>145</v>
      </c>
    </row>
    <row r="400" spans="1:7" x14ac:dyDescent="0.2">
      <c r="A400" s="181">
        <v>3</v>
      </c>
      <c r="B400" s="208">
        <v>39782</v>
      </c>
      <c r="C400" s="181" t="s">
        <v>148</v>
      </c>
      <c r="D400" s="210" t="s">
        <v>139</v>
      </c>
      <c r="E400" s="193"/>
      <c r="F400" s="181" t="s">
        <v>524</v>
      </c>
      <c r="G400" s="181" t="s">
        <v>147</v>
      </c>
    </row>
    <row r="401" spans="1:7" x14ac:dyDescent="0.2">
      <c r="A401" s="353">
        <v>2007</v>
      </c>
      <c r="B401" s="353"/>
      <c r="C401" s="353"/>
      <c r="D401" s="353"/>
      <c r="E401" s="353"/>
      <c r="F401" s="353"/>
      <c r="G401" s="353"/>
    </row>
    <row r="402" spans="1:7" x14ac:dyDescent="0.2">
      <c r="A402" s="181">
        <v>1</v>
      </c>
      <c r="B402" s="208">
        <v>39117</v>
      </c>
      <c r="C402" s="181" t="s">
        <v>131</v>
      </c>
      <c r="D402" s="180" t="s">
        <v>94</v>
      </c>
      <c r="E402" s="193"/>
      <c r="F402" s="181" t="s">
        <v>524</v>
      </c>
      <c r="G402" s="181" t="s">
        <v>130</v>
      </c>
    </row>
    <row r="403" spans="1:7" x14ac:dyDescent="0.2">
      <c r="A403" s="181">
        <v>2</v>
      </c>
      <c r="B403" s="208">
        <v>39152</v>
      </c>
      <c r="C403" s="181" t="s">
        <v>133</v>
      </c>
      <c r="D403" s="180" t="s">
        <v>94</v>
      </c>
      <c r="E403" s="193"/>
      <c r="F403" s="181" t="s">
        <v>780</v>
      </c>
      <c r="G403" s="181" t="s">
        <v>798</v>
      </c>
    </row>
    <row r="404" spans="1:7" x14ac:dyDescent="0.2">
      <c r="A404" s="181">
        <v>3</v>
      </c>
      <c r="B404" s="208">
        <v>39165</v>
      </c>
      <c r="C404" s="181" t="s">
        <v>134</v>
      </c>
      <c r="D404" s="180" t="s">
        <v>139</v>
      </c>
      <c r="E404" s="193"/>
      <c r="F404" s="181" t="s">
        <v>524</v>
      </c>
      <c r="G404" s="181" t="s">
        <v>63</v>
      </c>
    </row>
    <row r="405" spans="1:7" x14ac:dyDescent="0.2">
      <c r="A405" s="181">
        <v>4</v>
      </c>
      <c r="B405" s="208">
        <v>39235</v>
      </c>
      <c r="C405" s="181" t="s">
        <v>135</v>
      </c>
      <c r="D405" s="180" t="s">
        <v>139</v>
      </c>
      <c r="E405" s="193"/>
      <c r="F405" s="181" t="s">
        <v>524</v>
      </c>
      <c r="G405" s="181" t="s">
        <v>144</v>
      </c>
    </row>
    <row r="406" spans="1:7" x14ac:dyDescent="0.2">
      <c r="A406" s="181">
        <v>5</v>
      </c>
      <c r="B406" s="208">
        <v>39256</v>
      </c>
      <c r="C406" s="181" t="s">
        <v>137</v>
      </c>
      <c r="D406" s="180" t="s">
        <v>139</v>
      </c>
      <c r="E406" s="193"/>
      <c r="F406" s="181" t="s">
        <v>524</v>
      </c>
      <c r="G406" s="181" t="s">
        <v>136</v>
      </c>
    </row>
    <row r="407" spans="1:7" x14ac:dyDescent="0.2">
      <c r="A407" s="181">
        <v>6</v>
      </c>
      <c r="B407" s="208">
        <v>39257</v>
      </c>
      <c r="C407" s="181" t="s">
        <v>113</v>
      </c>
      <c r="D407" s="180" t="s">
        <v>139</v>
      </c>
      <c r="E407" s="193"/>
      <c r="F407" s="181" t="s">
        <v>524</v>
      </c>
      <c r="G407" s="181" t="s">
        <v>138</v>
      </c>
    </row>
    <row r="408" spans="1:7" x14ac:dyDescent="0.2">
      <c r="A408" s="181">
        <v>7</v>
      </c>
      <c r="B408" s="208">
        <v>39404</v>
      </c>
      <c r="C408" s="181" t="s">
        <v>141</v>
      </c>
      <c r="D408" s="180" t="s">
        <v>139</v>
      </c>
      <c r="E408" s="193"/>
      <c r="F408" s="181" t="s">
        <v>524</v>
      </c>
      <c r="G408" s="181" t="s">
        <v>140</v>
      </c>
    </row>
    <row r="409" spans="1:7" x14ac:dyDescent="0.2">
      <c r="A409" s="353">
        <v>2006</v>
      </c>
      <c r="B409" s="353"/>
      <c r="C409" s="353"/>
      <c r="D409" s="353"/>
      <c r="E409" s="353"/>
      <c r="F409" s="353"/>
      <c r="G409" s="353"/>
    </row>
    <row r="410" spans="1:7" x14ac:dyDescent="0.2">
      <c r="A410" s="180">
        <v>1</v>
      </c>
      <c r="B410" s="207">
        <v>38801</v>
      </c>
      <c r="C410" s="180" t="s">
        <v>4</v>
      </c>
      <c r="D410" s="180"/>
      <c r="E410" s="185"/>
      <c r="F410" s="180" t="s">
        <v>524</v>
      </c>
      <c r="G410" s="180" t="s">
        <v>890</v>
      </c>
    </row>
    <row r="411" spans="1:7" x14ac:dyDescent="0.2">
      <c r="A411" s="180">
        <v>2</v>
      </c>
      <c r="B411" s="207">
        <v>38802</v>
      </c>
      <c r="C411" s="180" t="s">
        <v>4</v>
      </c>
      <c r="D411" s="180"/>
      <c r="E411" s="185"/>
      <c r="F411" s="180" t="s">
        <v>524</v>
      </c>
      <c r="G411" s="180" t="s">
        <v>890</v>
      </c>
    </row>
    <row r="412" spans="1:7" x14ac:dyDescent="0.2">
      <c r="A412" s="180">
        <v>3</v>
      </c>
      <c r="B412" s="207">
        <v>38808</v>
      </c>
      <c r="C412" s="180" t="s">
        <v>30</v>
      </c>
      <c r="D412" s="180"/>
      <c r="E412" s="185"/>
      <c r="F412" s="180" t="s">
        <v>524</v>
      </c>
      <c r="G412" s="180" t="s">
        <v>891</v>
      </c>
    </row>
    <row r="413" spans="1:7" x14ac:dyDescent="0.2">
      <c r="A413" s="180">
        <v>4</v>
      </c>
      <c r="B413" s="207">
        <v>38809</v>
      </c>
      <c r="C413" s="180" t="s">
        <v>30</v>
      </c>
      <c r="D413" s="180"/>
      <c r="E413" s="185"/>
      <c r="F413" s="180" t="s">
        <v>524</v>
      </c>
      <c r="G413" s="180" t="s">
        <v>891</v>
      </c>
    </row>
    <row r="414" spans="1:7" x14ac:dyDescent="0.2">
      <c r="A414" s="180">
        <v>5</v>
      </c>
      <c r="B414" s="207">
        <v>38814</v>
      </c>
      <c r="C414" s="180" t="s">
        <v>85</v>
      </c>
      <c r="D414" s="180"/>
      <c r="E414" s="185"/>
      <c r="F414" s="180" t="s">
        <v>524</v>
      </c>
      <c r="G414" s="180" t="s">
        <v>892</v>
      </c>
    </row>
    <row r="415" spans="1:7" x14ac:dyDescent="0.2">
      <c r="A415" s="180">
        <v>6</v>
      </c>
      <c r="B415" s="207">
        <v>38815</v>
      </c>
      <c r="C415" s="180" t="s">
        <v>18</v>
      </c>
      <c r="D415" s="180" t="s">
        <v>94</v>
      </c>
      <c r="E415" s="185"/>
      <c r="F415" s="180" t="s">
        <v>524</v>
      </c>
      <c r="G415" s="180" t="s">
        <v>893</v>
      </c>
    </row>
    <row r="416" spans="1:7" x14ac:dyDescent="0.2">
      <c r="A416" s="180">
        <v>7</v>
      </c>
      <c r="B416" s="207">
        <v>38821</v>
      </c>
      <c r="C416" s="180" t="s">
        <v>82</v>
      </c>
      <c r="D416" s="180" t="s">
        <v>94</v>
      </c>
      <c r="E416" s="185"/>
      <c r="F416" s="180" t="s">
        <v>524</v>
      </c>
      <c r="G416" s="180" t="s">
        <v>60</v>
      </c>
    </row>
    <row r="417" spans="1:7" x14ac:dyDescent="0.2">
      <c r="A417" s="180">
        <v>8</v>
      </c>
      <c r="B417" s="207">
        <v>38859</v>
      </c>
      <c r="C417" s="180" t="s">
        <v>91</v>
      </c>
      <c r="D417" s="180"/>
      <c r="E417" s="185"/>
      <c r="F417" s="180" t="s">
        <v>524</v>
      </c>
      <c r="G417" s="180" t="s">
        <v>90</v>
      </c>
    </row>
    <row r="418" spans="1:7" x14ac:dyDescent="0.2">
      <c r="A418" s="180">
        <v>9</v>
      </c>
      <c r="B418" s="207">
        <v>38860</v>
      </c>
      <c r="C418" s="180" t="s">
        <v>92</v>
      </c>
      <c r="D418" s="180"/>
      <c r="E418" s="185"/>
      <c r="F418" s="180" t="s">
        <v>524</v>
      </c>
      <c r="G418" s="180" t="s">
        <v>90</v>
      </c>
    </row>
    <row r="419" spans="1:7" x14ac:dyDescent="0.2">
      <c r="A419" s="180">
        <v>10</v>
      </c>
      <c r="B419" s="207">
        <v>38496</v>
      </c>
      <c r="C419" s="180" t="s">
        <v>93</v>
      </c>
      <c r="D419" s="180" t="s">
        <v>94</v>
      </c>
      <c r="E419" s="185"/>
      <c r="F419" s="180" t="s">
        <v>524</v>
      </c>
      <c r="G419" s="180" t="s">
        <v>883</v>
      </c>
    </row>
    <row r="420" spans="1:7" x14ac:dyDescent="0.2">
      <c r="A420" s="180">
        <v>11</v>
      </c>
      <c r="B420" s="207">
        <v>38862</v>
      </c>
      <c r="C420" s="180" t="s">
        <v>95</v>
      </c>
      <c r="D420" s="180"/>
      <c r="E420" s="185"/>
      <c r="F420" s="180" t="s">
        <v>524</v>
      </c>
      <c r="G420" s="180" t="s">
        <v>90</v>
      </c>
    </row>
    <row r="421" spans="1:7" x14ac:dyDescent="0.2">
      <c r="A421" s="180">
        <v>12</v>
      </c>
      <c r="B421" s="207">
        <v>38863</v>
      </c>
      <c r="C421" s="180" t="s">
        <v>96</v>
      </c>
      <c r="D421" s="180"/>
      <c r="E421" s="185"/>
      <c r="F421" s="180" t="s">
        <v>524</v>
      </c>
      <c r="G421" s="180" t="s">
        <v>90</v>
      </c>
    </row>
    <row r="422" spans="1:7" x14ac:dyDescent="0.2">
      <c r="A422" s="180">
        <v>13</v>
      </c>
      <c r="B422" s="207">
        <v>38864</v>
      </c>
      <c r="C422" s="180" t="s">
        <v>98</v>
      </c>
      <c r="D422" s="180"/>
      <c r="E422" s="185"/>
      <c r="F422" s="180" t="s">
        <v>524</v>
      </c>
      <c r="G422" s="180" t="s">
        <v>97</v>
      </c>
    </row>
    <row r="423" spans="1:7" x14ac:dyDescent="0.2">
      <c r="A423" s="180">
        <v>14</v>
      </c>
      <c r="B423" s="207">
        <v>38865</v>
      </c>
      <c r="C423" s="180" t="s">
        <v>96</v>
      </c>
      <c r="D423" s="180"/>
      <c r="E423" s="185"/>
      <c r="F423" s="180" t="s">
        <v>524</v>
      </c>
      <c r="G423" s="180" t="s">
        <v>90</v>
      </c>
    </row>
    <row r="424" spans="1:7" x14ac:dyDescent="0.2">
      <c r="A424" s="180">
        <v>15</v>
      </c>
      <c r="B424" s="207">
        <v>38867</v>
      </c>
      <c r="C424" s="180" t="s">
        <v>99</v>
      </c>
      <c r="D424" s="180"/>
      <c r="E424" s="185"/>
      <c r="F424" s="180" t="s">
        <v>524</v>
      </c>
      <c r="G424" s="180" t="s">
        <v>90</v>
      </c>
    </row>
    <row r="425" spans="1:7" x14ac:dyDescent="0.2">
      <c r="A425" s="180">
        <v>16</v>
      </c>
      <c r="B425" s="207">
        <v>38869</v>
      </c>
      <c r="C425" s="180" t="s">
        <v>91</v>
      </c>
      <c r="D425" s="180"/>
      <c r="E425" s="185"/>
      <c r="F425" s="180" t="s">
        <v>524</v>
      </c>
      <c r="G425" s="180" t="s">
        <v>90</v>
      </c>
    </row>
    <row r="426" spans="1:7" x14ac:dyDescent="0.2">
      <c r="A426" s="180">
        <v>17</v>
      </c>
      <c r="B426" s="207">
        <v>38870</v>
      </c>
      <c r="C426" s="180" t="s">
        <v>101</v>
      </c>
      <c r="D426" s="180" t="s">
        <v>94</v>
      </c>
      <c r="E426" s="185"/>
      <c r="F426" s="180" t="s">
        <v>524</v>
      </c>
      <c r="G426" s="180" t="s">
        <v>100</v>
      </c>
    </row>
    <row r="427" spans="1:7" x14ac:dyDescent="0.2">
      <c r="A427" s="180">
        <v>18</v>
      </c>
      <c r="B427" s="207">
        <v>38871</v>
      </c>
      <c r="C427" s="180" t="s">
        <v>98</v>
      </c>
      <c r="D427" s="180"/>
      <c r="E427" s="185"/>
      <c r="F427" s="180" t="s">
        <v>524</v>
      </c>
      <c r="G427" s="180" t="s">
        <v>97</v>
      </c>
    </row>
    <row r="428" spans="1:7" x14ac:dyDescent="0.2">
      <c r="A428" s="180">
        <v>19</v>
      </c>
      <c r="B428" s="207">
        <v>38872</v>
      </c>
      <c r="C428" s="180" t="s">
        <v>102</v>
      </c>
      <c r="D428" s="180" t="s">
        <v>94</v>
      </c>
      <c r="E428" s="185"/>
      <c r="F428" s="180" t="s">
        <v>524</v>
      </c>
      <c r="G428" s="180" t="s">
        <v>97</v>
      </c>
    </row>
    <row r="429" spans="1:7" x14ac:dyDescent="0.2">
      <c r="A429" s="180">
        <v>20</v>
      </c>
      <c r="B429" s="207">
        <v>38873</v>
      </c>
      <c r="C429" s="180" t="s">
        <v>104</v>
      </c>
      <c r="D429" s="180" t="s">
        <v>94</v>
      </c>
      <c r="E429" s="185"/>
      <c r="F429" s="180" t="s">
        <v>524</v>
      </c>
      <c r="G429" s="180" t="s">
        <v>103</v>
      </c>
    </row>
    <row r="430" spans="1:7" x14ac:dyDescent="0.2">
      <c r="A430" s="180">
        <v>21</v>
      </c>
      <c r="B430" s="207">
        <v>38884</v>
      </c>
      <c r="C430" s="180" t="s">
        <v>105</v>
      </c>
      <c r="D430" s="180" t="s">
        <v>94</v>
      </c>
      <c r="E430" s="185"/>
      <c r="F430" s="180" t="s">
        <v>524</v>
      </c>
      <c r="G430" s="180" t="s">
        <v>114</v>
      </c>
    </row>
    <row r="431" spans="1:7" x14ac:dyDescent="0.2">
      <c r="A431" s="180">
        <v>22</v>
      </c>
      <c r="B431" s="207">
        <v>38885</v>
      </c>
      <c r="C431" s="180" t="s">
        <v>106</v>
      </c>
      <c r="D431" s="180" t="s">
        <v>94</v>
      </c>
      <c r="E431" s="185"/>
      <c r="F431" s="180" t="s">
        <v>524</v>
      </c>
      <c r="G431" s="180" t="s">
        <v>114</v>
      </c>
    </row>
    <row r="432" spans="1:7" x14ac:dyDescent="0.2">
      <c r="A432" s="180">
        <v>23</v>
      </c>
      <c r="B432" s="207">
        <v>38886</v>
      </c>
      <c r="C432" s="180" t="s">
        <v>105</v>
      </c>
      <c r="D432" s="180" t="s">
        <v>94</v>
      </c>
      <c r="E432" s="185"/>
      <c r="F432" s="180" t="s">
        <v>524</v>
      </c>
      <c r="G432" s="180" t="s">
        <v>114</v>
      </c>
    </row>
    <row r="433" spans="1:7" x14ac:dyDescent="0.2">
      <c r="A433" s="180">
        <v>24</v>
      </c>
      <c r="B433" s="207">
        <v>38891</v>
      </c>
      <c r="C433" s="180" t="s">
        <v>107</v>
      </c>
      <c r="D433" s="180" t="s">
        <v>94</v>
      </c>
      <c r="E433" s="185"/>
      <c r="F433" s="180" t="s">
        <v>524</v>
      </c>
      <c r="G433" s="180" t="s">
        <v>72</v>
      </c>
    </row>
    <row r="434" spans="1:7" x14ac:dyDescent="0.2">
      <c r="A434" s="180">
        <v>25</v>
      </c>
      <c r="B434" s="207">
        <v>38892</v>
      </c>
      <c r="C434" s="180" t="s">
        <v>109</v>
      </c>
      <c r="D434" s="180" t="s">
        <v>94</v>
      </c>
      <c r="E434" s="185"/>
      <c r="F434" s="180" t="s">
        <v>524</v>
      </c>
      <c r="G434" s="180" t="s">
        <v>108</v>
      </c>
    </row>
    <row r="435" spans="1:7" x14ac:dyDescent="0.2">
      <c r="A435" s="180">
        <v>26</v>
      </c>
      <c r="B435" s="207">
        <v>38892</v>
      </c>
      <c r="C435" s="180" t="s">
        <v>111</v>
      </c>
      <c r="D435" s="180" t="s">
        <v>94</v>
      </c>
      <c r="E435" s="185"/>
      <c r="F435" s="180" t="s">
        <v>524</v>
      </c>
      <c r="G435" s="180" t="s">
        <v>110</v>
      </c>
    </row>
    <row r="436" spans="1:7" x14ac:dyDescent="0.2">
      <c r="A436" s="180">
        <v>27</v>
      </c>
      <c r="B436" s="207">
        <v>38910</v>
      </c>
      <c r="C436" s="180" t="s">
        <v>113</v>
      </c>
      <c r="D436" s="180" t="s">
        <v>94</v>
      </c>
      <c r="E436" s="185"/>
      <c r="F436" s="180" t="s">
        <v>884</v>
      </c>
      <c r="G436" s="180" t="s">
        <v>885</v>
      </c>
    </row>
    <row r="437" spans="1:7" x14ac:dyDescent="0.2">
      <c r="A437" s="180">
        <v>28</v>
      </c>
      <c r="B437" s="207">
        <v>38977</v>
      </c>
      <c r="C437" s="180" t="s">
        <v>116</v>
      </c>
      <c r="D437" s="180" t="s">
        <v>94</v>
      </c>
      <c r="E437" s="185"/>
      <c r="F437" s="180" t="s">
        <v>847</v>
      </c>
      <c r="G437" s="180" t="s">
        <v>886</v>
      </c>
    </row>
    <row r="438" spans="1:7" x14ac:dyDescent="0.2">
      <c r="A438" s="180">
        <v>29</v>
      </c>
      <c r="B438" s="207">
        <v>38983</v>
      </c>
      <c r="C438" s="180" t="s">
        <v>92</v>
      </c>
      <c r="D438" s="180" t="s">
        <v>94</v>
      </c>
      <c r="E438" s="185"/>
      <c r="F438" s="180" t="s">
        <v>888</v>
      </c>
      <c r="G438" s="180" t="s">
        <v>887</v>
      </c>
    </row>
    <row r="439" spans="1:7" x14ac:dyDescent="0.2">
      <c r="A439" s="180">
        <v>30</v>
      </c>
      <c r="B439" s="207">
        <v>38990</v>
      </c>
      <c r="C439" s="180" t="s">
        <v>120</v>
      </c>
      <c r="D439" s="180"/>
      <c r="E439" s="185"/>
      <c r="F439" s="180" t="s">
        <v>524</v>
      </c>
      <c r="G439" s="180" t="s">
        <v>119</v>
      </c>
    </row>
    <row r="440" spans="1:7" x14ac:dyDescent="0.2">
      <c r="A440" s="180">
        <v>31</v>
      </c>
      <c r="B440" s="207">
        <v>38991</v>
      </c>
      <c r="C440" s="180" t="s">
        <v>120</v>
      </c>
      <c r="D440" s="180"/>
      <c r="E440" s="185"/>
      <c r="F440" s="180" t="s">
        <v>524</v>
      </c>
      <c r="G440" s="180" t="s">
        <v>119</v>
      </c>
    </row>
    <row r="441" spans="1:7" x14ac:dyDescent="0.2">
      <c r="A441" s="180">
        <v>32</v>
      </c>
      <c r="B441" s="207">
        <v>38993</v>
      </c>
      <c r="C441" s="180" t="s">
        <v>120</v>
      </c>
      <c r="D441" s="180"/>
      <c r="E441" s="185"/>
      <c r="F441" s="180" t="s">
        <v>524</v>
      </c>
      <c r="G441" s="180" t="s">
        <v>119</v>
      </c>
    </row>
    <row r="442" spans="1:7" x14ac:dyDescent="0.2">
      <c r="A442" s="180">
        <v>33</v>
      </c>
      <c r="B442" s="207">
        <v>38995</v>
      </c>
      <c r="C442" s="180" t="s">
        <v>120</v>
      </c>
      <c r="D442" s="180"/>
      <c r="E442" s="185"/>
      <c r="F442" s="180" t="s">
        <v>524</v>
      </c>
      <c r="G442" s="180" t="s">
        <v>119</v>
      </c>
    </row>
    <row r="443" spans="1:7" x14ac:dyDescent="0.2">
      <c r="A443" s="180">
        <v>34</v>
      </c>
      <c r="B443" s="207">
        <v>38997</v>
      </c>
      <c r="C443" s="180" t="s">
        <v>120</v>
      </c>
      <c r="D443" s="180"/>
      <c r="E443" s="185"/>
      <c r="F443" s="180" t="s">
        <v>524</v>
      </c>
      <c r="G443" s="180" t="s">
        <v>119</v>
      </c>
    </row>
    <row r="444" spans="1:7" x14ac:dyDescent="0.2">
      <c r="A444" s="180">
        <v>35</v>
      </c>
      <c r="B444" s="207">
        <v>39025</v>
      </c>
      <c r="C444" s="180" t="s">
        <v>122</v>
      </c>
      <c r="D444" s="180" t="s">
        <v>94</v>
      </c>
      <c r="E444" s="185"/>
      <c r="F444" s="180" t="s">
        <v>888</v>
      </c>
      <c r="G444" s="180" t="s">
        <v>889</v>
      </c>
    </row>
    <row r="445" spans="1:7" x14ac:dyDescent="0.2">
      <c r="A445" s="180">
        <v>36</v>
      </c>
      <c r="B445" s="207">
        <v>39026</v>
      </c>
      <c r="C445" s="180" t="s">
        <v>123</v>
      </c>
      <c r="D445" s="180" t="s">
        <v>94</v>
      </c>
      <c r="E445" s="185"/>
      <c r="F445" s="180" t="s">
        <v>888</v>
      </c>
      <c r="G445" s="180" t="s">
        <v>889</v>
      </c>
    </row>
    <row r="446" spans="1:7" x14ac:dyDescent="0.2">
      <c r="A446" s="180">
        <v>37</v>
      </c>
      <c r="B446" s="207">
        <v>39047</v>
      </c>
      <c r="C446" s="180" t="s">
        <v>125</v>
      </c>
      <c r="D446" s="180" t="s">
        <v>94</v>
      </c>
      <c r="E446" s="185"/>
      <c r="F446" s="180" t="s">
        <v>524</v>
      </c>
      <c r="G446" s="180" t="s">
        <v>124</v>
      </c>
    </row>
    <row r="447" spans="1:7" x14ac:dyDescent="0.2">
      <c r="A447" s="180">
        <v>38</v>
      </c>
      <c r="B447" s="207">
        <v>39054</v>
      </c>
      <c r="C447" s="180" t="s">
        <v>126</v>
      </c>
      <c r="D447" s="180" t="s">
        <v>94</v>
      </c>
      <c r="E447" s="185"/>
      <c r="F447" s="180" t="s">
        <v>524</v>
      </c>
      <c r="G447" s="180" t="s">
        <v>124</v>
      </c>
    </row>
    <row r="448" spans="1:7" x14ac:dyDescent="0.2">
      <c r="A448" s="180">
        <v>39</v>
      </c>
      <c r="B448" s="207">
        <v>39067</v>
      </c>
      <c r="C448" s="180" t="s">
        <v>128</v>
      </c>
      <c r="D448" s="180" t="s">
        <v>94</v>
      </c>
      <c r="E448" s="185"/>
      <c r="F448" s="180" t="s">
        <v>524</v>
      </c>
      <c r="G448" s="180" t="s">
        <v>127</v>
      </c>
    </row>
    <row r="449" spans="1:7" x14ac:dyDescent="0.2">
      <c r="A449" s="353">
        <v>2005</v>
      </c>
      <c r="B449" s="353"/>
      <c r="C449" s="353"/>
      <c r="D449" s="353"/>
      <c r="E449" s="353"/>
      <c r="F449" s="353"/>
      <c r="G449" s="353"/>
    </row>
    <row r="450" spans="1:7" x14ac:dyDescent="0.2">
      <c r="A450" s="181">
        <v>1</v>
      </c>
      <c r="B450" s="208">
        <v>38359</v>
      </c>
      <c r="C450" s="181" t="s">
        <v>34</v>
      </c>
      <c r="D450" s="181"/>
      <c r="E450" s="193"/>
      <c r="F450" s="181" t="s">
        <v>524</v>
      </c>
      <c r="G450" s="181" t="s">
        <v>33</v>
      </c>
    </row>
    <row r="451" spans="1:7" x14ac:dyDescent="0.2">
      <c r="A451" s="181">
        <v>2</v>
      </c>
      <c r="B451" s="208">
        <v>38395</v>
      </c>
      <c r="C451" s="181" t="s">
        <v>56</v>
      </c>
      <c r="D451" s="181"/>
      <c r="E451" s="193"/>
      <c r="F451" s="181" t="s">
        <v>524</v>
      </c>
      <c r="G451" s="181" t="s">
        <v>55</v>
      </c>
    </row>
    <row r="452" spans="1:7" x14ac:dyDescent="0.2">
      <c r="A452" s="181">
        <v>3</v>
      </c>
      <c r="B452" s="208">
        <v>38402</v>
      </c>
      <c r="C452" s="181" t="s">
        <v>56</v>
      </c>
      <c r="D452" s="181"/>
      <c r="E452" s="193"/>
      <c r="F452" s="181" t="s">
        <v>524</v>
      </c>
      <c r="G452" s="181" t="s">
        <v>55</v>
      </c>
    </row>
    <row r="453" spans="1:7" x14ac:dyDescent="0.2">
      <c r="A453" s="181">
        <v>4</v>
      </c>
      <c r="B453" s="208">
        <v>38403</v>
      </c>
      <c r="C453" s="181" t="s">
        <v>56</v>
      </c>
      <c r="D453" s="181"/>
      <c r="E453" s="193"/>
      <c r="F453" s="181" t="s">
        <v>524</v>
      </c>
      <c r="G453" s="181" t="s">
        <v>55</v>
      </c>
    </row>
    <row r="454" spans="1:7" x14ac:dyDescent="0.2">
      <c r="A454" s="181">
        <v>5</v>
      </c>
      <c r="B454" s="208">
        <v>38415</v>
      </c>
      <c r="C454" s="181" t="s">
        <v>34</v>
      </c>
      <c r="D454" s="181"/>
      <c r="E454" s="193"/>
      <c r="F454" s="181" t="s">
        <v>524</v>
      </c>
      <c r="G454" s="181" t="s">
        <v>33</v>
      </c>
    </row>
    <row r="455" spans="1:7" x14ac:dyDescent="0.2">
      <c r="A455" s="181">
        <v>6</v>
      </c>
      <c r="B455" s="208">
        <v>38424</v>
      </c>
      <c r="C455" s="181" t="s">
        <v>18</v>
      </c>
      <c r="D455" s="181"/>
      <c r="E455" s="193"/>
      <c r="F455" s="181" t="s">
        <v>524</v>
      </c>
      <c r="G455" s="181" t="s">
        <v>65</v>
      </c>
    </row>
    <row r="456" spans="1:7" x14ac:dyDescent="0.2">
      <c r="A456" s="181">
        <v>7</v>
      </c>
      <c r="B456" s="208">
        <v>38429</v>
      </c>
      <c r="C456" s="181" t="s">
        <v>58</v>
      </c>
      <c r="D456" s="181"/>
      <c r="E456" s="193"/>
      <c r="F456" s="181" t="s">
        <v>524</v>
      </c>
      <c r="G456" s="181" t="s">
        <v>57</v>
      </c>
    </row>
    <row r="457" spans="1:7" x14ac:dyDescent="0.2">
      <c r="A457" s="181">
        <v>8</v>
      </c>
      <c r="B457" s="208">
        <v>38430</v>
      </c>
      <c r="C457" s="181" t="s">
        <v>18</v>
      </c>
      <c r="D457" s="181"/>
      <c r="E457" s="193"/>
      <c r="F457" s="181" t="s">
        <v>524</v>
      </c>
      <c r="G457" s="181" t="s">
        <v>66</v>
      </c>
    </row>
    <row r="458" spans="1:7" x14ac:dyDescent="0.2">
      <c r="A458" s="181">
        <v>9</v>
      </c>
      <c r="B458" s="208">
        <v>38431</v>
      </c>
      <c r="C458" s="181" t="s">
        <v>59</v>
      </c>
      <c r="D458" s="181"/>
      <c r="E458" s="193"/>
      <c r="F458" s="181" t="s">
        <v>524</v>
      </c>
      <c r="G458" s="181" t="s">
        <v>67</v>
      </c>
    </row>
    <row r="459" spans="1:7" x14ac:dyDescent="0.2">
      <c r="A459" s="181">
        <v>10</v>
      </c>
      <c r="B459" s="208">
        <v>38436</v>
      </c>
      <c r="C459" s="181" t="s">
        <v>58</v>
      </c>
      <c r="D459" s="181"/>
      <c r="E459" s="193"/>
      <c r="F459" s="181" t="s">
        <v>524</v>
      </c>
      <c r="G459" s="181" t="s">
        <v>60</v>
      </c>
    </row>
    <row r="460" spans="1:7" x14ac:dyDescent="0.2">
      <c r="A460" s="181">
        <v>11</v>
      </c>
      <c r="B460" s="208">
        <v>38438</v>
      </c>
      <c r="C460" s="181" t="s">
        <v>62</v>
      </c>
      <c r="D460" s="181"/>
      <c r="E460" s="193"/>
      <c r="F460" s="181" t="s">
        <v>524</v>
      </c>
      <c r="G460" s="181" t="s">
        <v>61</v>
      </c>
    </row>
    <row r="461" spans="1:7" x14ac:dyDescent="0.2">
      <c r="A461" s="181">
        <v>12</v>
      </c>
      <c r="B461" s="208">
        <v>38443</v>
      </c>
      <c r="C461" s="181" t="s">
        <v>34</v>
      </c>
      <c r="D461" s="181"/>
      <c r="E461" s="193"/>
      <c r="F461" s="181" t="s">
        <v>524</v>
      </c>
      <c r="G461" s="181" t="s">
        <v>33</v>
      </c>
    </row>
    <row r="462" spans="1:7" x14ac:dyDescent="0.2">
      <c r="A462" s="181">
        <v>13</v>
      </c>
      <c r="B462" s="208">
        <v>38450</v>
      </c>
      <c r="C462" s="181" t="s">
        <v>64</v>
      </c>
      <c r="D462" s="181"/>
      <c r="E462" s="193"/>
      <c r="F462" s="181" t="s">
        <v>524</v>
      </c>
      <c r="G462" s="181" t="s">
        <v>63</v>
      </c>
    </row>
    <row r="463" spans="1:7" x14ac:dyDescent="0.2">
      <c r="A463" s="181">
        <v>14</v>
      </c>
      <c r="B463" s="208">
        <v>38478</v>
      </c>
      <c r="C463" s="181" t="s">
        <v>34</v>
      </c>
      <c r="D463" s="181"/>
      <c r="E463" s="193"/>
      <c r="F463" s="181" t="s">
        <v>524</v>
      </c>
      <c r="G463" s="181" t="s">
        <v>33</v>
      </c>
    </row>
    <row r="464" spans="1:7" x14ac:dyDescent="0.2">
      <c r="A464" s="181">
        <v>15</v>
      </c>
      <c r="B464" s="208">
        <v>38493</v>
      </c>
      <c r="C464" s="181" t="s">
        <v>69</v>
      </c>
      <c r="D464" s="181"/>
      <c r="E464" s="193"/>
      <c r="F464" s="181" t="s">
        <v>524</v>
      </c>
      <c r="G464" s="181" t="s">
        <v>68</v>
      </c>
    </row>
    <row r="465" spans="1:7" x14ac:dyDescent="0.2">
      <c r="A465" s="181">
        <v>16</v>
      </c>
      <c r="B465" s="208">
        <v>38496</v>
      </c>
      <c r="C465" s="181" t="s">
        <v>71</v>
      </c>
      <c r="D465" s="181"/>
      <c r="E465" s="193"/>
      <c r="F465" s="181" t="s">
        <v>524</v>
      </c>
      <c r="G465" s="181" t="s">
        <v>70</v>
      </c>
    </row>
    <row r="466" spans="1:7" x14ac:dyDescent="0.2">
      <c r="A466" s="181">
        <v>17</v>
      </c>
      <c r="B466" s="208">
        <v>38506</v>
      </c>
      <c r="C466" s="181" t="s">
        <v>34</v>
      </c>
      <c r="D466" s="181"/>
      <c r="E466" s="193"/>
      <c r="F466" s="181" t="s">
        <v>524</v>
      </c>
      <c r="G466" s="181" t="s">
        <v>33</v>
      </c>
    </row>
    <row r="467" spans="1:7" x14ac:dyDescent="0.2">
      <c r="A467" s="181">
        <v>18</v>
      </c>
      <c r="B467" s="208">
        <v>38507</v>
      </c>
      <c r="C467" s="181" t="s">
        <v>62</v>
      </c>
      <c r="D467" s="181"/>
      <c r="E467" s="193"/>
      <c r="F467" s="181" t="s">
        <v>524</v>
      </c>
      <c r="G467" s="181" t="s">
        <v>61</v>
      </c>
    </row>
    <row r="468" spans="1:7" x14ac:dyDescent="0.2">
      <c r="A468" s="181">
        <v>19</v>
      </c>
      <c r="B468" s="208">
        <v>38523</v>
      </c>
      <c r="C468" s="181" t="s">
        <v>71</v>
      </c>
      <c r="D468" s="181"/>
      <c r="E468" s="193"/>
      <c r="F468" s="181" t="s">
        <v>524</v>
      </c>
      <c r="G468" s="181" t="s">
        <v>41</v>
      </c>
    </row>
    <row r="469" spans="1:7" x14ac:dyDescent="0.2">
      <c r="A469" s="181">
        <v>20</v>
      </c>
      <c r="B469" s="208">
        <v>38526</v>
      </c>
      <c r="C469" s="181" t="s">
        <v>73</v>
      </c>
      <c r="D469" s="181"/>
      <c r="E469" s="193"/>
      <c r="F469" s="181" t="s">
        <v>524</v>
      </c>
      <c r="G469" s="181" t="s">
        <v>72</v>
      </c>
    </row>
    <row r="470" spans="1:7" x14ac:dyDescent="0.2">
      <c r="A470" s="181">
        <v>21</v>
      </c>
      <c r="B470" s="208">
        <v>38543</v>
      </c>
      <c r="C470" s="181" t="s">
        <v>62</v>
      </c>
      <c r="D470" s="181"/>
      <c r="E470" s="193"/>
      <c r="F470" s="181" t="s">
        <v>524</v>
      </c>
      <c r="G470" s="181" t="s">
        <v>61</v>
      </c>
    </row>
    <row r="471" spans="1:7" x14ac:dyDescent="0.2">
      <c r="A471" s="181">
        <v>22</v>
      </c>
      <c r="B471" s="208">
        <v>38592</v>
      </c>
      <c r="C471" s="181" t="s">
        <v>62</v>
      </c>
      <c r="D471" s="181"/>
      <c r="E471" s="193"/>
      <c r="F471" s="181" t="s">
        <v>524</v>
      </c>
      <c r="G471" s="181" t="s">
        <v>61</v>
      </c>
    </row>
    <row r="472" spans="1:7" x14ac:dyDescent="0.2">
      <c r="A472" s="181">
        <v>23</v>
      </c>
      <c r="B472" s="208">
        <v>38618</v>
      </c>
      <c r="C472" s="181" t="s">
        <v>75</v>
      </c>
      <c r="D472" s="181"/>
      <c r="E472" s="193"/>
      <c r="F472" s="181" t="s">
        <v>524</v>
      </c>
      <c r="G472" s="181" t="s">
        <v>74</v>
      </c>
    </row>
    <row r="473" spans="1:7" x14ac:dyDescent="0.2">
      <c r="A473" s="181">
        <v>24</v>
      </c>
      <c r="B473" s="208">
        <v>38618</v>
      </c>
      <c r="C473" s="181" t="s">
        <v>76</v>
      </c>
      <c r="D473" s="181"/>
      <c r="E473" s="193"/>
      <c r="F473" s="181" t="s">
        <v>524</v>
      </c>
      <c r="G473" s="181" t="s">
        <v>80</v>
      </c>
    </row>
    <row r="474" spans="1:7" x14ac:dyDescent="0.2">
      <c r="A474" s="181">
        <v>25</v>
      </c>
      <c r="B474" s="208">
        <v>38619</v>
      </c>
      <c r="C474" s="181" t="s">
        <v>77</v>
      </c>
      <c r="D474" s="181"/>
      <c r="E474" s="193"/>
      <c r="F474" s="181" t="s">
        <v>524</v>
      </c>
      <c r="G474" s="181" t="s">
        <v>80</v>
      </c>
    </row>
    <row r="475" spans="1:7" x14ac:dyDescent="0.2">
      <c r="A475" s="181">
        <v>26</v>
      </c>
      <c r="B475" s="208">
        <v>38632</v>
      </c>
      <c r="C475" s="181" t="s">
        <v>34</v>
      </c>
      <c r="D475" s="181"/>
      <c r="E475" s="193"/>
      <c r="F475" s="181" t="s">
        <v>524</v>
      </c>
      <c r="G475" s="181" t="s">
        <v>33</v>
      </c>
    </row>
    <row r="476" spans="1:7" x14ac:dyDescent="0.2">
      <c r="A476" s="181">
        <v>27</v>
      </c>
      <c r="B476" s="208">
        <v>38634</v>
      </c>
      <c r="C476" s="181" t="s">
        <v>78</v>
      </c>
      <c r="D476" s="181"/>
      <c r="E476" s="193"/>
      <c r="F476" s="181" t="s">
        <v>524</v>
      </c>
      <c r="G476" s="181" t="s">
        <v>79</v>
      </c>
    </row>
    <row r="477" spans="1:7" x14ac:dyDescent="0.2">
      <c r="A477" s="181">
        <v>28</v>
      </c>
      <c r="B477" s="208">
        <v>38660</v>
      </c>
      <c r="C477" s="181" t="s">
        <v>34</v>
      </c>
      <c r="D477" s="181"/>
      <c r="E477" s="193"/>
      <c r="F477" s="181" t="s">
        <v>524</v>
      </c>
      <c r="G477" s="181" t="s">
        <v>33</v>
      </c>
    </row>
    <row r="478" spans="1:7" x14ac:dyDescent="0.2">
      <c r="A478" s="181">
        <v>29</v>
      </c>
      <c r="B478" s="208">
        <v>38694</v>
      </c>
      <c r="C478" s="181" t="s">
        <v>37</v>
      </c>
      <c r="D478" s="181"/>
      <c r="E478" s="193"/>
      <c r="F478" s="181" t="s">
        <v>524</v>
      </c>
      <c r="G478" s="181" t="s">
        <v>81</v>
      </c>
    </row>
    <row r="479" spans="1:7" x14ac:dyDescent="0.2">
      <c r="A479" s="181">
        <v>30</v>
      </c>
      <c r="B479" s="208">
        <v>38702</v>
      </c>
      <c r="C479" s="181" t="s">
        <v>82</v>
      </c>
      <c r="D479" s="181"/>
      <c r="E479" s="193"/>
      <c r="F479" s="181" t="s">
        <v>524</v>
      </c>
      <c r="G479" s="181" t="s">
        <v>83</v>
      </c>
    </row>
    <row r="480" spans="1:7" x14ac:dyDescent="0.2">
      <c r="A480" s="353">
        <v>2004</v>
      </c>
      <c r="B480" s="353"/>
      <c r="C480" s="353"/>
      <c r="D480" s="353"/>
      <c r="E480" s="353"/>
      <c r="F480" s="353"/>
      <c r="G480" s="353"/>
    </row>
    <row r="481" spans="1:7" x14ac:dyDescent="0.2">
      <c r="A481" s="181">
        <v>1</v>
      </c>
      <c r="B481" s="208">
        <v>38011</v>
      </c>
      <c r="C481" s="181" t="s">
        <v>26</v>
      </c>
      <c r="D481" s="181"/>
      <c r="E481" s="193"/>
      <c r="F481" s="181" t="s">
        <v>524</v>
      </c>
      <c r="G481" s="181" t="s">
        <v>25</v>
      </c>
    </row>
    <row r="482" spans="1:7" x14ac:dyDescent="0.2">
      <c r="A482" s="181">
        <v>2</v>
      </c>
      <c r="B482" s="208">
        <v>38066</v>
      </c>
      <c r="C482" s="181" t="s">
        <v>28</v>
      </c>
      <c r="D482" s="181"/>
      <c r="E482" s="193"/>
      <c r="F482" s="181" t="s">
        <v>524</v>
      </c>
      <c r="G482" s="181" t="s">
        <v>27</v>
      </c>
    </row>
    <row r="483" spans="1:7" x14ac:dyDescent="0.2">
      <c r="A483" s="181">
        <v>3</v>
      </c>
      <c r="B483" s="208">
        <v>38067</v>
      </c>
      <c r="C483" s="181" t="s">
        <v>30</v>
      </c>
      <c r="D483" s="181"/>
      <c r="E483" s="193"/>
      <c r="F483" s="181" t="s">
        <v>524</v>
      </c>
      <c r="G483" s="181" t="s">
        <v>29</v>
      </c>
    </row>
    <row r="484" spans="1:7" x14ac:dyDescent="0.2">
      <c r="A484" s="181">
        <v>4</v>
      </c>
      <c r="B484" s="208">
        <v>38073</v>
      </c>
      <c r="C484" s="181" t="s">
        <v>32</v>
      </c>
      <c r="D484" s="181"/>
      <c r="E484" s="193"/>
      <c r="F484" s="181" t="s">
        <v>524</v>
      </c>
      <c r="G484" s="181" t="s">
        <v>31</v>
      </c>
    </row>
    <row r="485" spans="1:7" x14ac:dyDescent="0.2">
      <c r="A485" s="181">
        <v>5</v>
      </c>
      <c r="B485" s="208">
        <v>38079</v>
      </c>
      <c r="C485" s="181" t="s">
        <v>34</v>
      </c>
      <c r="D485" s="181"/>
      <c r="E485" s="193"/>
      <c r="F485" s="181" t="s">
        <v>524</v>
      </c>
      <c r="G485" s="181" t="s">
        <v>33</v>
      </c>
    </row>
    <row r="486" spans="1:7" x14ac:dyDescent="0.2">
      <c r="A486" s="181">
        <v>6</v>
      </c>
      <c r="B486" s="208">
        <v>38086</v>
      </c>
      <c r="C486" s="181">
        <v>20.149999999999999</v>
      </c>
      <c r="D486" s="181"/>
      <c r="E486" s="193"/>
      <c r="F486" s="181" t="s">
        <v>524</v>
      </c>
      <c r="G486" s="181" t="s">
        <v>35</v>
      </c>
    </row>
    <row r="487" spans="1:7" x14ac:dyDescent="0.2">
      <c r="A487" s="181">
        <v>7</v>
      </c>
      <c r="B487" s="208">
        <v>38109</v>
      </c>
      <c r="C487" s="181" t="s">
        <v>37</v>
      </c>
      <c r="D487" s="181"/>
      <c r="E487" s="193"/>
      <c r="F487" s="181" t="s">
        <v>524</v>
      </c>
      <c r="G487" s="181" t="s">
        <v>36</v>
      </c>
    </row>
    <row r="488" spans="1:7" x14ac:dyDescent="0.2">
      <c r="A488" s="181">
        <v>8</v>
      </c>
      <c r="B488" s="208">
        <v>38114</v>
      </c>
      <c r="C488" s="181" t="s">
        <v>34</v>
      </c>
      <c r="D488" s="181"/>
      <c r="E488" s="193"/>
      <c r="F488" s="181" t="s">
        <v>524</v>
      </c>
      <c r="G488" s="181" t="s">
        <v>33</v>
      </c>
    </row>
    <row r="489" spans="1:7" x14ac:dyDescent="0.2">
      <c r="A489" s="181">
        <v>9</v>
      </c>
      <c r="B489" s="208">
        <v>38131</v>
      </c>
      <c r="C489" s="181" t="s">
        <v>15</v>
      </c>
      <c r="D489" s="181"/>
      <c r="E489" s="193"/>
      <c r="F489" s="181" t="s">
        <v>524</v>
      </c>
      <c r="G489" s="181" t="s">
        <v>38</v>
      </c>
    </row>
    <row r="490" spans="1:7" x14ac:dyDescent="0.2">
      <c r="A490" s="181">
        <v>10</v>
      </c>
      <c r="B490" s="208">
        <v>38142</v>
      </c>
      <c r="C490" s="181" t="s">
        <v>34</v>
      </c>
      <c r="D490" s="181"/>
      <c r="E490" s="193"/>
      <c r="F490" s="181" t="s">
        <v>524</v>
      </c>
      <c r="G490" s="181" t="s">
        <v>33</v>
      </c>
    </row>
    <row r="491" spans="1:7" x14ac:dyDescent="0.2">
      <c r="A491" s="181">
        <v>11</v>
      </c>
      <c r="B491" s="208">
        <v>38143</v>
      </c>
      <c r="C491" s="181" t="s">
        <v>40</v>
      </c>
      <c r="D491" s="181"/>
      <c r="E491" s="193"/>
      <c r="F491" s="181" t="s">
        <v>524</v>
      </c>
      <c r="G491" s="181" t="s">
        <v>39</v>
      </c>
    </row>
    <row r="492" spans="1:7" x14ac:dyDescent="0.2">
      <c r="A492" s="181">
        <v>12</v>
      </c>
      <c r="B492" s="208">
        <v>38144</v>
      </c>
      <c r="C492" s="181" t="s">
        <v>40</v>
      </c>
      <c r="D492" s="181"/>
      <c r="E492" s="193"/>
      <c r="F492" s="181" t="s">
        <v>524</v>
      </c>
      <c r="G492" s="181" t="s">
        <v>39</v>
      </c>
    </row>
    <row r="493" spans="1:7" x14ac:dyDescent="0.2">
      <c r="A493" s="181">
        <v>13</v>
      </c>
      <c r="B493" s="208">
        <v>38158</v>
      </c>
      <c r="C493" s="181" t="s">
        <v>15</v>
      </c>
      <c r="D493" s="181"/>
      <c r="E493" s="193"/>
      <c r="F493" s="181" t="s">
        <v>524</v>
      </c>
      <c r="G493" s="181" t="s">
        <v>41</v>
      </c>
    </row>
    <row r="494" spans="1:7" x14ac:dyDescent="0.2">
      <c r="A494" s="181">
        <v>14</v>
      </c>
      <c r="B494" s="208">
        <v>38161</v>
      </c>
      <c r="C494" s="181" t="s">
        <v>43</v>
      </c>
      <c r="D494" s="181"/>
      <c r="E494" s="193"/>
      <c r="F494" s="181" t="s">
        <v>524</v>
      </c>
      <c r="G494" s="181" t="s">
        <v>42</v>
      </c>
    </row>
    <row r="495" spans="1:7" x14ac:dyDescent="0.2">
      <c r="A495" s="181">
        <v>15</v>
      </c>
      <c r="B495" s="208">
        <v>38170</v>
      </c>
      <c r="C495" s="181" t="s">
        <v>44</v>
      </c>
      <c r="D495" s="181"/>
      <c r="E495" s="193"/>
      <c r="F495" s="181" t="s">
        <v>524</v>
      </c>
      <c r="G495" s="181" t="s">
        <v>36</v>
      </c>
    </row>
    <row r="496" spans="1:7" x14ac:dyDescent="0.2">
      <c r="A496" s="181">
        <v>16</v>
      </c>
      <c r="B496" s="208">
        <v>38187</v>
      </c>
      <c r="C496" s="181" t="s">
        <v>46</v>
      </c>
      <c r="D496" s="181"/>
      <c r="E496" s="193"/>
      <c r="F496" s="181" t="s">
        <v>524</v>
      </c>
      <c r="G496" s="181" t="s">
        <v>45</v>
      </c>
    </row>
    <row r="497" spans="1:7" x14ac:dyDescent="0.2">
      <c r="A497" s="181">
        <v>17</v>
      </c>
      <c r="B497" s="208">
        <v>38191</v>
      </c>
      <c r="C497" s="181" t="s">
        <v>48</v>
      </c>
      <c r="D497" s="181"/>
      <c r="E497" s="193"/>
      <c r="F497" s="181" t="s">
        <v>524</v>
      </c>
      <c r="G497" s="181" t="s">
        <v>47</v>
      </c>
    </row>
    <row r="498" spans="1:7" x14ac:dyDescent="0.2">
      <c r="A498" s="181">
        <v>18</v>
      </c>
      <c r="B498" s="208">
        <v>38198</v>
      </c>
      <c r="C498" s="181" t="s">
        <v>49</v>
      </c>
      <c r="D498" s="181"/>
      <c r="E498" s="193"/>
      <c r="F498" s="181" t="s">
        <v>524</v>
      </c>
      <c r="G498" s="181" t="s">
        <v>47</v>
      </c>
    </row>
    <row r="499" spans="1:7" x14ac:dyDescent="0.2">
      <c r="A499" s="181">
        <v>19</v>
      </c>
      <c r="B499" s="208">
        <v>38296</v>
      </c>
      <c r="C499" s="181" t="s">
        <v>34</v>
      </c>
      <c r="D499" s="181"/>
      <c r="E499" s="193"/>
      <c r="F499" s="181" t="s">
        <v>524</v>
      </c>
      <c r="G499" s="181" t="s">
        <v>33</v>
      </c>
    </row>
    <row r="500" spans="1:7" x14ac:dyDescent="0.2">
      <c r="A500" s="181">
        <v>20</v>
      </c>
      <c r="B500" s="208">
        <v>38305</v>
      </c>
      <c r="C500" s="181" t="s">
        <v>26</v>
      </c>
      <c r="D500" s="181"/>
      <c r="E500" s="193"/>
      <c r="F500" s="181" t="s">
        <v>524</v>
      </c>
      <c r="G500" s="181" t="s">
        <v>25</v>
      </c>
    </row>
    <row r="501" spans="1:7" x14ac:dyDescent="0.2">
      <c r="A501" s="181">
        <v>21</v>
      </c>
      <c r="B501" s="208">
        <v>38324</v>
      </c>
      <c r="C501" s="181" t="s">
        <v>34</v>
      </c>
      <c r="D501" s="181"/>
      <c r="E501" s="193"/>
      <c r="F501" s="181" t="s">
        <v>524</v>
      </c>
      <c r="G501" s="181" t="s">
        <v>33</v>
      </c>
    </row>
    <row r="502" spans="1:7" x14ac:dyDescent="0.2">
      <c r="A502" s="181">
        <v>22</v>
      </c>
      <c r="B502" s="208">
        <v>38329</v>
      </c>
      <c r="C502" s="181" t="s">
        <v>51</v>
      </c>
      <c r="D502" s="181"/>
      <c r="E502" s="193"/>
      <c r="F502" s="181" t="s">
        <v>524</v>
      </c>
      <c r="G502" s="181" t="s">
        <v>50</v>
      </c>
    </row>
    <row r="503" spans="1:7" x14ac:dyDescent="0.2">
      <c r="A503" s="181">
        <v>23</v>
      </c>
      <c r="B503" s="208">
        <v>38332</v>
      </c>
      <c r="C503" s="181" t="s">
        <v>53</v>
      </c>
      <c r="D503" s="181"/>
      <c r="E503" s="193"/>
      <c r="F503" s="181" t="s">
        <v>524</v>
      </c>
      <c r="G503" s="181" t="s">
        <v>52</v>
      </c>
    </row>
    <row r="504" spans="1:7" x14ac:dyDescent="0.2">
      <c r="A504" s="353">
        <v>2003</v>
      </c>
      <c r="B504" s="353"/>
      <c r="C504" s="353"/>
      <c r="D504" s="353"/>
      <c r="E504" s="353"/>
      <c r="F504" s="353"/>
      <c r="G504" s="353"/>
    </row>
    <row r="505" spans="1:7" x14ac:dyDescent="0.2">
      <c r="A505" s="196">
        <v>1</v>
      </c>
      <c r="B505" s="208">
        <v>37653</v>
      </c>
      <c r="C505" s="180" t="s">
        <v>894</v>
      </c>
      <c r="D505" s="181"/>
      <c r="E505" s="193"/>
      <c r="F505" s="181" t="s">
        <v>524</v>
      </c>
      <c r="G505" s="181" t="s">
        <v>6</v>
      </c>
    </row>
    <row r="506" spans="1:7" x14ac:dyDescent="0.2">
      <c r="A506" s="196">
        <v>2</v>
      </c>
      <c r="B506" s="208">
        <v>37703</v>
      </c>
      <c r="C506" s="181" t="s">
        <v>4</v>
      </c>
      <c r="D506" s="181"/>
      <c r="E506" s="193"/>
      <c r="F506" s="181" t="s">
        <v>524</v>
      </c>
      <c r="G506" s="181" t="s">
        <v>7</v>
      </c>
    </row>
    <row r="507" spans="1:7" x14ac:dyDescent="0.2">
      <c r="A507" s="196">
        <v>3</v>
      </c>
      <c r="B507" s="208">
        <v>37713</v>
      </c>
      <c r="C507" s="181" t="s">
        <v>9</v>
      </c>
      <c r="D507" s="181"/>
      <c r="E507" s="193"/>
      <c r="F507" s="181" t="s">
        <v>524</v>
      </c>
      <c r="G507" s="181" t="s">
        <v>8</v>
      </c>
    </row>
    <row r="508" spans="1:7" x14ac:dyDescent="0.2">
      <c r="A508" s="196">
        <v>4</v>
      </c>
      <c r="B508" s="208">
        <v>37722</v>
      </c>
      <c r="C508" s="181" t="s">
        <v>13</v>
      </c>
      <c r="D508" s="181"/>
      <c r="E508" s="193"/>
      <c r="F508" s="181" t="s">
        <v>524</v>
      </c>
      <c r="G508" s="181" t="s">
        <v>12</v>
      </c>
    </row>
    <row r="509" spans="1:7" x14ac:dyDescent="0.2">
      <c r="A509" s="196">
        <v>5</v>
      </c>
      <c r="B509" s="208">
        <v>37724</v>
      </c>
      <c r="C509" s="181" t="s">
        <v>10</v>
      </c>
      <c r="D509" s="181"/>
      <c r="E509" s="193"/>
      <c r="F509" s="181" t="s">
        <v>524</v>
      </c>
      <c r="G509" s="181" t="s">
        <v>11</v>
      </c>
    </row>
    <row r="510" spans="1:7" x14ac:dyDescent="0.2">
      <c r="A510" s="196">
        <v>6</v>
      </c>
      <c r="B510" s="208">
        <v>37765</v>
      </c>
      <c r="C510" s="181" t="s">
        <v>15</v>
      </c>
      <c r="D510" s="181"/>
      <c r="E510" s="193"/>
      <c r="F510" s="181" t="s">
        <v>524</v>
      </c>
      <c r="G510" s="181" t="s">
        <v>14</v>
      </c>
    </row>
    <row r="511" spans="1:7" x14ac:dyDescent="0.2">
      <c r="A511" s="196">
        <v>7</v>
      </c>
      <c r="B511" s="208">
        <v>37792</v>
      </c>
      <c r="C511" s="181" t="s">
        <v>15</v>
      </c>
      <c r="D511" s="181"/>
      <c r="E511" s="193"/>
      <c r="F511" s="181" t="s">
        <v>524</v>
      </c>
      <c r="G511" s="181" t="s">
        <v>16</v>
      </c>
    </row>
    <row r="512" spans="1:7" x14ac:dyDescent="0.2">
      <c r="A512" s="196">
        <v>8</v>
      </c>
      <c r="B512" s="208">
        <v>37912</v>
      </c>
      <c r="C512" s="181" t="s">
        <v>18</v>
      </c>
      <c r="D512" s="181"/>
      <c r="E512" s="193"/>
      <c r="F512" s="181" t="s">
        <v>524</v>
      </c>
      <c r="G512" s="181" t="s">
        <v>17</v>
      </c>
    </row>
    <row r="513" spans="1:7" x14ac:dyDescent="0.2">
      <c r="A513" s="196">
        <v>9</v>
      </c>
      <c r="B513" s="208">
        <v>37961</v>
      </c>
      <c r="C513" s="181" t="s">
        <v>20</v>
      </c>
      <c r="D513" s="181"/>
      <c r="E513" s="193"/>
      <c r="F513" s="181" t="s">
        <v>524</v>
      </c>
      <c r="G513" s="181" t="s">
        <v>19</v>
      </c>
    </row>
    <row r="514" spans="1:7" x14ac:dyDescent="0.2">
      <c r="A514" s="196">
        <v>10</v>
      </c>
      <c r="B514" s="208">
        <v>37962</v>
      </c>
      <c r="C514" s="181" t="s">
        <v>20</v>
      </c>
      <c r="D514" s="181"/>
      <c r="E514" s="193"/>
      <c r="F514" s="181" t="s">
        <v>524</v>
      </c>
      <c r="G514" s="181" t="s">
        <v>21</v>
      </c>
    </row>
    <row r="515" spans="1:7" x14ac:dyDescent="0.2">
      <c r="A515" s="196">
        <v>11</v>
      </c>
      <c r="B515" s="208">
        <v>37975</v>
      </c>
      <c r="C515" s="181" t="s">
        <v>23</v>
      </c>
      <c r="D515" s="181"/>
      <c r="E515" s="193"/>
      <c r="F515" s="181" t="s">
        <v>524</v>
      </c>
      <c r="G515" s="181" t="s">
        <v>22</v>
      </c>
    </row>
  </sheetData>
  <mergeCells count="27">
    <mergeCell ref="A298:G298"/>
    <mergeCell ref="A75:G75"/>
    <mergeCell ref="A54:G54"/>
    <mergeCell ref="A392:G392"/>
    <mergeCell ref="E5:F5"/>
    <mergeCell ref="A15:G15"/>
    <mergeCell ref="B7:G7"/>
    <mergeCell ref="A40:G40"/>
    <mergeCell ref="A108:G108"/>
    <mergeCell ref="A344:G344"/>
    <mergeCell ref="A233:G233"/>
    <mergeCell ref="A504:G504"/>
    <mergeCell ref="F2:F3"/>
    <mergeCell ref="A397:G397"/>
    <mergeCell ref="A401:G401"/>
    <mergeCell ref="A409:G409"/>
    <mergeCell ref="A449:G449"/>
    <mergeCell ref="A480:G480"/>
    <mergeCell ref="A139:G139"/>
    <mergeCell ref="A160:G160"/>
    <mergeCell ref="A183:G183"/>
    <mergeCell ref="G2:G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6CF2-DEDD-40C4-BA6E-F82D77CDCE7F}">
  <dimension ref="A1:H13"/>
  <sheetViews>
    <sheetView workbookViewId="0">
      <selection activeCell="H32" sqref="H32"/>
    </sheetView>
  </sheetViews>
  <sheetFormatPr defaultRowHeight="12.75" x14ac:dyDescent="0.2"/>
  <cols>
    <col min="1" max="1" width="2.85546875" style="159" customWidth="1"/>
    <col min="2" max="2" width="8.85546875" style="159" bestFit="1" customWidth="1"/>
    <col min="3" max="3" width="10.140625" style="270" bestFit="1" customWidth="1"/>
    <col min="4" max="5" width="7.42578125" style="184" customWidth="1"/>
    <col min="6" max="6" width="11.28515625" style="184" customWidth="1"/>
    <col min="7" max="7" width="60.42578125" customWidth="1"/>
    <col min="8" max="8" width="39.42578125" customWidth="1"/>
  </cols>
  <sheetData>
    <row r="1" spans="1:8" s="198" customFormat="1" ht="15.75" x14ac:dyDescent="0.2">
      <c r="A1" s="345" t="s">
        <v>934</v>
      </c>
      <c r="B1" s="345"/>
      <c r="C1" s="345"/>
      <c r="D1" s="345"/>
      <c r="E1" s="345"/>
      <c r="F1" s="345"/>
      <c r="G1" s="345"/>
      <c r="H1" s="345"/>
    </row>
    <row r="2" spans="1:8" s="198" customFormat="1" x14ac:dyDescent="0.2">
      <c r="A2" s="159"/>
      <c r="B2" s="159"/>
      <c r="C2" s="268"/>
      <c r="D2" s="200"/>
      <c r="E2" s="200"/>
      <c r="F2" s="200"/>
    </row>
    <row r="3" spans="1:8" s="198" customFormat="1" ht="15" customHeight="1" x14ac:dyDescent="0.2">
      <c r="A3" s="346"/>
      <c r="B3" s="234" t="s">
        <v>913</v>
      </c>
      <c r="C3" s="369" t="s">
        <v>1</v>
      </c>
      <c r="D3" s="349" t="s">
        <v>772</v>
      </c>
      <c r="E3" s="349" t="s">
        <v>773</v>
      </c>
      <c r="F3" s="350" t="s">
        <v>774</v>
      </c>
      <c r="G3" s="351" t="s">
        <v>529</v>
      </c>
      <c r="H3" s="351" t="s">
        <v>2</v>
      </c>
    </row>
    <row r="4" spans="1:8" s="198" customFormat="1" ht="15" customHeight="1" x14ac:dyDescent="0.2">
      <c r="A4" s="346"/>
      <c r="B4" s="235" t="s">
        <v>914</v>
      </c>
      <c r="C4" s="369"/>
      <c r="D4" s="349"/>
      <c r="E4" s="349"/>
      <c r="F4" s="350"/>
      <c r="G4" s="351"/>
      <c r="H4" s="351"/>
    </row>
    <row r="5" spans="1:8" ht="15" customHeight="1" x14ac:dyDescent="0.2">
      <c r="C5" s="269"/>
      <c r="D5" s="188"/>
      <c r="E5" s="188"/>
      <c r="F5" s="188"/>
      <c r="G5" s="187"/>
      <c r="H5" s="187"/>
    </row>
    <row r="6" spans="1:8" ht="15" customHeight="1" x14ac:dyDescent="0.2">
      <c r="C6" s="269"/>
      <c r="D6" s="188"/>
      <c r="E6" s="188"/>
      <c r="F6" s="347">
        <f xml:space="preserve"> SUM(F8:F10)</f>
        <v>0.82638888888888906</v>
      </c>
      <c r="G6" s="348"/>
      <c r="H6" s="187"/>
    </row>
    <row r="8" spans="1:8" x14ac:dyDescent="0.2">
      <c r="A8" s="196">
        <v>1</v>
      </c>
      <c r="B8" s="244" t="s">
        <v>933</v>
      </c>
      <c r="C8" s="271">
        <v>44968</v>
      </c>
      <c r="D8" s="185">
        <v>0.36458333333333331</v>
      </c>
      <c r="E8" s="185">
        <v>0.54513888888888895</v>
      </c>
      <c r="F8" s="203">
        <f t="shared" ref="F8:F13" si="0">E8-D8</f>
        <v>0.18055555555555564</v>
      </c>
      <c r="G8" s="180" t="s">
        <v>931</v>
      </c>
      <c r="H8" s="180" t="s">
        <v>932</v>
      </c>
    </row>
    <row r="9" spans="1:8" x14ac:dyDescent="0.2">
      <c r="A9" s="196">
        <v>2</v>
      </c>
      <c r="B9" s="234" t="s">
        <v>913</v>
      </c>
      <c r="C9" s="271">
        <v>45089</v>
      </c>
      <c r="D9" s="185">
        <v>0.4375</v>
      </c>
      <c r="E9" s="185">
        <v>0.5625</v>
      </c>
      <c r="F9" s="203">
        <f t="shared" si="0"/>
        <v>0.125</v>
      </c>
      <c r="G9" s="215" t="s">
        <v>935</v>
      </c>
      <c r="H9" s="196" t="s">
        <v>936</v>
      </c>
    </row>
    <row r="10" spans="1:8" x14ac:dyDescent="0.2">
      <c r="A10" s="196">
        <v>3</v>
      </c>
      <c r="B10" s="234" t="s">
        <v>913</v>
      </c>
      <c r="C10" s="271">
        <v>45172</v>
      </c>
      <c r="D10" s="185">
        <v>0.28125</v>
      </c>
      <c r="E10" s="185">
        <v>0.80208333333333337</v>
      </c>
      <c r="F10" s="203">
        <f t="shared" si="0"/>
        <v>0.52083333333333337</v>
      </c>
      <c r="G10" s="180" t="s">
        <v>941</v>
      </c>
      <c r="H10" s="180" t="s">
        <v>943</v>
      </c>
    </row>
    <row r="11" spans="1:8" x14ac:dyDescent="0.2">
      <c r="A11" s="196">
        <v>4</v>
      </c>
      <c r="B11" s="234" t="s">
        <v>913</v>
      </c>
      <c r="C11" s="271">
        <v>45185</v>
      </c>
      <c r="D11" s="185">
        <v>0.29166666666666669</v>
      </c>
      <c r="E11" s="185">
        <v>0.83333333333333337</v>
      </c>
      <c r="F11" s="203">
        <f t="shared" si="0"/>
        <v>0.54166666666666674</v>
      </c>
      <c r="G11" s="180" t="s">
        <v>944</v>
      </c>
      <c r="H11" s="180" t="s">
        <v>945</v>
      </c>
    </row>
    <row r="12" spans="1:8" x14ac:dyDescent="0.2">
      <c r="A12" s="196">
        <v>5</v>
      </c>
      <c r="B12" s="234" t="s">
        <v>913</v>
      </c>
      <c r="C12" s="271">
        <v>45206</v>
      </c>
      <c r="D12" s="185">
        <v>0.5625</v>
      </c>
      <c r="E12" s="185">
        <v>0.85416666666666663</v>
      </c>
      <c r="F12" s="203">
        <f t="shared" si="0"/>
        <v>0.29166666666666663</v>
      </c>
      <c r="G12" s="215" t="s">
        <v>946</v>
      </c>
      <c r="H12" s="215" t="s">
        <v>947</v>
      </c>
    </row>
    <row r="13" spans="1:8" x14ac:dyDescent="0.2">
      <c r="A13" s="196">
        <v>6</v>
      </c>
      <c r="B13" s="234" t="s">
        <v>913</v>
      </c>
      <c r="C13" s="271">
        <v>45207</v>
      </c>
      <c r="D13" s="185">
        <v>0.39583333333333331</v>
      </c>
      <c r="E13" s="185">
        <v>0.75</v>
      </c>
      <c r="F13" s="203">
        <f t="shared" si="0"/>
        <v>0.35416666666666669</v>
      </c>
      <c r="G13" s="215" t="s">
        <v>949</v>
      </c>
      <c r="H13" s="215" t="s">
        <v>948</v>
      </c>
    </row>
  </sheetData>
  <mergeCells count="9">
    <mergeCell ref="F6:G6"/>
    <mergeCell ref="A1:H1"/>
    <mergeCell ref="A3:A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91A8-A693-4633-A424-C5A7D196C36D}">
  <dimension ref="A1:H15"/>
  <sheetViews>
    <sheetView workbookViewId="0">
      <selection activeCell="F8" sqref="F8"/>
    </sheetView>
  </sheetViews>
  <sheetFormatPr defaultRowHeight="12.75" x14ac:dyDescent="0.2"/>
  <cols>
    <col min="1" max="1" width="2.85546875" style="159" customWidth="1"/>
    <col min="2" max="2" width="8.85546875" style="159" bestFit="1" customWidth="1"/>
    <col min="3" max="3" width="10.140625" style="270" bestFit="1" customWidth="1"/>
    <col min="4" max="5" width="7.42578125" style="184" customWidth="1"/>
    <col min="6" max="6" width="11.28515625" style="184" customWidth="1"/>
    <col min="7" max="7" width="60.42578125" customWidth="1"/>
    <col min="8" max="8" width="61.140625" bestFit="1" customWidth="1"/>
  </cols>
  <sheetData>
    <row r="1" spans="1:8" s="198" customFormat="1" ht="15.75" x14ac:dyDescent="0.2">
      <c r="A1" s="345" t="s">
        <v>967</v>
      </c>
      <c r="B1" s="345"/>
      <c r="C1" s="345"/>
      <c r="D1" s="345"/>
      <c r="E1" s="345"/>
      <c r="F1" s="345"/>
      <c r="G1" s="345"/>
      <c r="H1" s="345"/>
    </row>
    <row r="2" spans="1:8" s="198" customFormat="1" x14ac:dyDescent="0.2">
      <c r="A2" s="159"/>
      <c r="B2" s="159"/>
      <c r="C2" s="268"/>
      <c r="D2" s="200"/>
      <c r="E2" s="200"/>
      <c r="F2" s="200"/>
    </row>
    <row r="3" spans="1:8" s="198" customFormat="1" ht="15" customHeight="1" x14ac:dyDescent="0.2">
      <c r="A3" s="346"/>
      <c r="B3" s="234" t="s">
        <v>913</v>
      </c>
      <c r="C3" s="369" t="s">
        <v>1</v>
      </c>
      <c r="D3" s="349" t="s">
        <v>772</v>
      </c>
      <c r="E3" s="349" t="s">
        <v>773</v>
      </c>
      <c r="F3" s="350" t="s">
        <v>774</v>
      </c>
      <c r="G3" s="351" t="s">
        <v>529</v>
      </c>
      <c r="H3" s="351" t="s">
        <v>2</v>
      </c>
    </row>
    <row r="4" spans="1:8" s="198" customFormat="1" ht="15" customHeight="1" x14ac:dyDescent="0.2">
      <c r="A4" s="346"/>
      <c r="B4" s="235" t="s">
        <v>914</v>
      </c>
      <c r="C4" s="369"/>
      <c r="D4" s="349"/>
      <c r="E4" s="349"/>
      <c r="F4" s="350"/>
      <c r="G4" s="351"/>
      <c r="H4" s="351"/>
    </row>
    <row r="5" spans="1:8" ht="15" customHeight="1" x14ac:dyDescent="0.2">
      <c r="C5" s="269"/>
      <c r="D5" s="188"/>
      <c r="E5" s="188"/>
      <c r="F5" s="188"/>
      <c r="G5" s="187"/>
      <c r="H5" s="187"/>
    </row>
    <row r="6" spans="1:8" ht="15" customHeight="1" x14ac:dyDescent="0.2">
      <c r="C6" s="269"/>
      <c r="D6" s="188"/>
      <c r="E6" s="188"/>
      <c r="F6" s="347">
        <f xml:space="preserve"> SUM(F8:F10)</f>
        <v>0.34027777777777785</v>
      </c>
      <c r="G6" s="348"/>
      <c r="H6" s="187"/>
    </row>
    <row r="8" spans="1:8" x14ac:dyDescent="0.2">
      <c r="A8" s="196">
        <v>1</v>
      </c>
      <c r="B8" s="234" t="s">
        <v>913</v>
      </c>
      <c r="C8" s="271">
        <v>45313</v>
      </c>
      <c r="D8" s="185">
        <v>0.49652777777777773</v>
      </c>
      <c r="E8" s="185">
        <v>0.50347222222222221</v>
      </c>
      <c r="F8" s="203">
        <f t="shared" ref="F8:F14" si="0">E8-D8</f>
        <v>6.9444444444444753E-3</v>
      </c>
      <c r="G8" s="215" t="s">
        <v>524</v>
      </c>
      <c r="H8" s="215" t="s">
        <v>951</v>
      </c>
    </row>
    <row r="9" spans="1:8" x14ac:dyDescent="0.2">
      <c r="A9" s="196">
        <v>2</v>
      </c>
      <c r="B9" s="234" t="s">
        <v>913</v>
      </c>
      <c r="C9" s="271">
        <v>45431</v>
      </c>
      <c r="D9" s="185">
        <v>0.375</v>
      </c>
      <c r="E9" s="185">
        <v>0.5</v>
      </c>
      <c r="F9" s="203">
        <f t="shared" si="0"/>
        <v>0.125</v>
      </c>
      <c r="G9" s="215" t="s">
        <v>524</v>
      </c>
      <c r="H9" s="215" t="s">
        <v>952</v>
      </c>
    </row>
    <row r="10" spans="1:8" x14ac:dyDescent="0.2">
      <c r="A10" s="196">
        <v>3</v>
      </c>
      <c r="B10" s="234" t="s">
        <v>913</v>
      </c>
      <c r="C10" s="271">
        <v>45448</v>
      </c>
      <c r="D10" s="185">
        <v>0.3125</v>
      </c>
      <c r="E10" s="185">
        <v>0.52083333333333337</v>
      </c>
      <c r="F10" s="203">
        <f t="shared" si="0"/>
        <v>0.20833333333333337</v>
      </c>
      <c r="G10" s="215" t="s">
        <v>524</v>
      </c>
      <c r="H10" s="180" t="s">
        <v>955</v>
      </c>
    </row>
    <row r="11" spans="1:8" x14ac:dyDescent="0.2">
      <c r="A11" s="196">
        <v>4</v>
      </c>
      <c r="B11" s="234" t="s">
        <v>913</v>
      </c>
      <c r="C11" s="271">
        <v>45461</v>
      </c>
      <c r="D11" s="185">
        <v>0.3125</v>
      </c>
      <c r="E11" s="185">
        <v>0.52083333333333337</v>
      </c>
      <c r="F11" s="203">
        <f t="shared" si="0"/>
        <v>0.20833333333333337</v>
      </c>
      <c r="G11" s="180" t="s">
        <v>956</v>
      </c>
      <c r="H11" s="180" t="s">
        <v>957</v>
      </c>
    </row>
    <row r="12" spans="1:8" x14ac:dyDescent="0.2">
      <c r="A12" s="196">
        <v>5</v>
      </c>
      <c r="B12" s="234" t="s">
        <v>913</v>
      </c>
      <c r="C12" s="271">
        <v>45475</v>
      </c>
      <c r="D12" s="185">
        <v>0.39583333333333331</v>
      </c>
      <c r="E12" s="185">
        <v>0.52083333333333337</v>
      </c>
      <c r="F12" s="203">
        <f t="shared" si="0"/>
        <v>0.12500000000000006</v>
      </c>
      <c r="G12" s="215" t="s">
        <v>524</v>
      </c>
      <c r="H12" s="215" t="s">
        <v>958</v>
      </c>
    </row>
    <row r="13" spans="1:8" x14ac:dyDescent="0.2">
      <c r="A13" s="196">
        <v>6</v>
      </c>
      <c r="B13" s="234" t="s">
        <v>913</v>
      </c>
      <c r="C13" s="271">
        <v>45545</v>
      </c>
      <c r="D13" s="185">
        <v>0.3125</v>
      </c>
      <c r="E13" s="185">
        <v>0.47916666666666669</v>
      </c>
      <c r="F13" s="203">
        <f t="shared" si="0"/>
        <v>0.16666666666666669</v>
      </c>
      <c r="G13" s="215" t="s">
        <v>524</v>
      </c>
      <c r="H13" s="215" t="s">
        <v>962</v>
      </c>
    </row>
    <row r="14" spans="1:8" x14ac:dyDescent="0.2">
      <c r="A14" s="196">
        <v>7</v>
      </c>
      <c r="B14" s="234" t="s">
        <v>913</v>
      </c>
      <c r="C14" s="271">
        <v>45585</v>
      </c>
      <c r="D14" s="185">
        <v>0.35416666666666669</v>
      </c>
      <c r="E14" s="185">
        <v>0.52083333333333337</v>
      </c>
      <c r="F14" s="203">
        <f t="shared" si="0"/>
        <v>0.16666666666666669</v>
      </c>
      <c r="G14" s="215" t="s">
        <v>524</v>
      </c>
      <c r="H14" s="215" t="s">
        <v>966</v>
      </c>
    </row>
    <row r="15" spans="1:8" x14ac:dyDescent="0.2">
      <c r="A15" s="196"/>
      <c r="B15" s="234"/>
      <c r="C15" s="271"/>
      <c r="D15" s="185"/>
      <c r="E15" s="185"/>
      <c r="F15" s="203"/>
      <c r="G15" s="215"/>
      <c r="H15" s="215"/>
    </row>
  </sheetData>
  <mergeCells count="9">
    <mergeCell ref="F6:G6"/>
    <mergeCell ref="A1:H1"/>
    <mergeCell ref="A3:A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horizontalDpi="4294967294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01AD-68BA-46E1-AC6D-48B1AED8E198}">
  <dimension ref="A1:H16"/>
  <sheetViews>
    <sheetView workbookViewId="0">
      <selection activeCell="G29" sqref="G29"/>
    </sheetView>
  </sheetViews>
  <sheetFormatPr defaultRowHeight="12.75" x14ac:dyDescent="0.2"/>
  <cols>
    <col min="1" max="1" width="2.85546875" style="159" customWidth="1"/>
    <col min="2" max="2" width="8.85546875" style="159" bestFit="1" customWidth="1"/>
    <col min="3" max="3" width="10.140625" style="270" bestFit="1" customWidth="1"/>
    <col min="4" max="5" width="7.42578125" style="184" customWidth="1"/>
    <col min="6" max="6" width="11.28515625" style="184" customWidth="1"/>
    <col min="7" max="7" width="60.42578125" customWidth="1"/>
    <col min="8" max="8" width="61.140625" bestFit="1" customWidth="1"/>
  </cols>
  <sheetData>
    <row r="1" spans="1:8" s="198" customFormat="1" ht="15.75" x14ac:dyDescent="0.2">
      <c r="A1" s="345" t="s">
        <v>968</v>
      </c>
      <c r="B1" s="345"/>
      <c r="C1" s="345"/>
      <c r="D1" s="345"/>
      <c r="E1" s="345"/>
      <c r="F1" s="345"/>
      <c r="G1" s="345"/>
      <c r="H1" s="345"/>
    </row>
    <row r="2" spans="1:8" s="198" customFormat="1" x14ac:dyDescent="0.2">
      <c r="A2" s="159"/>
      <c r="B2" s="159"/>
      <c r="C2" s="268"/>
      <c r="D2" s="200"/>
      <c r="E2" s="200"/>
      <c r="F2" s="200"/>
    </row>
    <row r="3" spans="1:8" s="198" customFormat="1" ht="15" customHeight="1" x14ac:dyDescent="0.2">
      <c r="A3" s="346"/>
      <c r="B3" s="234" t="s">
        <v>913</v>
      </c>
      <c r="C3" s="369" t="s">
        <v>1</v>
      </c>
      <c r="D3" s="349" t="s">
        <v>772</v>
      </c>
      <c r="E3" s="349" t="s">
        <v>773</v>
      </c>
      <c r="F3" s="350" t="s">
        <v>774</v>
      </c>
      <c r="G3" s="351" t="s">
        <v>529</v>
      </c>
      <c r="H3" s="351" t="s">
        <v>2</v>
      </c>
    </row>
    <row r="4" spans="1:8" s="198" customFormat="1" ht="15" customHeight="1" x14ac:dyDescent="0.2">
      <c r="A4" s="346"/>
      <c r="B4" s="235" t="s">
        <v>914</v>
      </c>
      <c r="C4" s="369"/>
      <c r="D4" s="349"/>
      <c r="E4" s="349"/>
      <c r="F4" s="350"/>
      <c r="G4" s="351"/>
      <c r="H4" s="351"/>
    </row>
    <row r="5" spans="1:8" ht="15" customHeight="1" x14ac:dyDescent="0.2">
      <c r="C5" s="269"/>
      <c r="D5" s="188"/>
      <c r="E5" s="188"/>
      <c r="F5" s="188"/>
      <c r="G5" s="187"/>
      <c r="H5" s="187"/>
    </row>
    <row r="6" spans="1:8" ht="15" customHeight="1" x14ac:dyDescent="0.2">
      <c r="C6" s="269"/>
      <c r="D6" s="188"/>
      <c r="E6" s="188"/>
      <c r="F6" s="347">
        <f xml:space="preserve"> SUM(F8:F21)</f>
        <v>1.6944444444444446</v>
      </c>
      <c r="G6" s="348"/>
      <c r="H6" s="187"/>
    </row>
    <row r="8" spans="1:8" x14ac:dyDescent="0.2">
      <c r="A8" s="196">
        <v>1</v>
      </c>
      <c r="B8" s="234" t="s">
        <v>913</v>
      </c>
      <c r="C8" s="271">
        <v>45676</v>
      </c>
      <c r="D8" s="185">
        <v>0.5625</v>
      </c>
      <c r="E8" s="185">
        <v>0.79861111111111116</v>
      </c>
      <c r="F8" s="203">
        <f>E8-D8</f>
        <v>0.23611111111111116</v>
      </c>
      <c r="G8" s="215" t="s">
        <v>969</v>
      </c>
      <c r="H8" s="215" t="s">
        <v>970</v>
      </c>
    </row>
    <row r="9" spans="1:8" x14ac:dyDescent="0.2">
      <c r="A9" s="196">
        <v>2</v>
      </c>
      <c r="B9" s="234" t="s">
        <v>913</v>
      </c>
      <c r="C9" s="271">
        <v>45678</v>
      </c>
      <c r="D9" s="185">
        <v>0.51041666666666663</v>
      </c>
      <c r="E9" s="185">
        <v>0.78125</v>
      </c>
      <c r="F9" s="203">
        <f>E9-D9</f>
        <v>0.27083333333333337</v>
      </c>
      <c r="G9" s="215" t="s">
        <v>973</v>
      </c>
      <c r="H9" s="215" t="s">
        <v>974</v>
      </c>
    </row>
    <row r="10" spans="1:8" x14ac:dyDescent="0.2">
      <c r="A10" s="196">
        <v>3</v>
      </c>
      <c r="B10" s="234" t="s">
        <v>913</v>
      </c>
      <c r="C10" s="271">
        <v>45725</v>
      </c>
      <c r="D10" s="185">
        <v>0.54166666666666663</v>
      </c>
      <c r="E10" s="185">
        <v>0.75</v>
      </c>
      <c r="F10" s="203">
        <f>E10-D10</f>
        <v>0.20833333333333337</v>
      </c>
      <c r="G10" s="215" t="s">
        <v>973</v>
      </c>
      <c r="H10" s="180" t="s">
        <v>975</v>
      </c>
    </row>
    <row r="11" spans="1:8" x14ac:dyDescent="0.2">
      <c r="A11" s="196">
        <v>4</v>
      </c>
      <c r="B11" s="234" t="s">
        <v>913</v>
      </c>
      <c r="C11" s="271">
        <v>45730</v>
      </c>
      <c r="D11" s="185">
        <v>0.66666666666666663</v>
      </c>
      <c r="E11" s="185">
        <v>0.77083333333333337</v>
      </c>
      <c r="F11" s="203">
        <f>E11-D11</f>
        <v>0.10416666666666674</v>
      </c>
      <c r="G11" s="215" t="s">
        <v>973</v>
      </c>
      <c r="H11" s="180" t="s">
        <v>975</v>
      </c>
    </row>
    <row r="12" spans="1:8" x14ac:dyDescent="0.2">
      <c r="A12" s="196">
        <v>5</v>
      </c>
      <c r="B12" s="234" t="s">
        <v>913</v>
      </c>
      <c r="C12" s="271">
        <v>45844</v>
      </c>
      <c r="D12" s="185">
        <v>0.29166666666666669</v>
      </c>
      <c r="E12" s="185">
        <v>0.64583333333333337</v>
      </c>
      <c r="F12" s="203">
        <f>E12-D12</f>
        <v>0.35416666666666669</v>
      </c>
      <c r="G12" s="215" t="s">
        <v>941</v>
      </c>
      <c r="H12" s="215" t="s">
        <v>976</v>
      </c>
    </row>
    <row r="13" spans="1:8" x14ac:dyDescent="0.2">
      <c r="A13" s="196">
        <v>6</v>
      </c>
      <c r="B13" s="234" t="s">
        <v>913</v>
      </c>
      <c r="C13" s="271">
        <v>45864</v>
      </c>
      <c r="D13" s="185">
        <v>0.73958333333333337</v>
      </c>
      <c r="E13" s="185">
        <v>1.0416666666666666E-2</v>
      </c>
      <c r="F13" s="203">
        <v>0.27083333333333331</v>
      </c>
      <c r="G13" s="215" t="s">
        <v>977</v>
      </c>
      <c r="H13" s="215" t="s">
        <v>978</v>
      </c>
    </row>
    <row r="14" spans="1:8" x14ac:dyDescent="0.2">
      <c r="A14" s="196">
        <v>7</v>
      </c>
      <c r="B14" s="234" t="s">
        <v>913</v>
      </c>
      <c r="C14" s="271">
        <v>45892</v>
      </c>
      <c r="D14" s="185">
        <v>0.41666666666666669</v>
      </c>
      <c r="E14" s="185">
        <v>0.58333333333333337</v>
      </c>
      <c r="F14" s="203">
        <f>E14-D14</f>
        <v>0.16666666666666669</v>
      </c>
      <c r="G14" s="215" t="s">
        <v>979</v>
      </c>
      <c r="H14" s="215" t="s">
        <v>980</v>
      </c>
    </row>
    <row r="15" spans="1:8" x14ac:dyDescent="0.2">
      <c r="A15" s="196">
        <v>8</v>
      </c>
      <c r="B15" s="235" t="s">
        <v>914</v>
      </c>
      <c r="C15" s="271">
        <v>45921</v>
      </c>
      <c r="D15" s="185">
        <v>0.58333333333333337</v>
      </c>
      <c r="E15" s="185">
        <v>0.66666666666666663</v>
      </c>
      <c r="F15" s="203">
        <f>E15-D15</f>
        <v>8.3333333333333259E-2</v>
      </c>
      <c r="G15" s="215" t="s">
        <v>981</v>
      </c>
      <c r="H15" s="196" t="s">
        <v>982</v>
      </c>
    </row>
    <row r="16" spans="1:8" x14ac:dyDescent="0.2">
      <c r="A16" s="196"/>
      <c r="B16" s="283"/>
      <c r="C16" s="271"/>
      <c r="D16" s="185"/>
      <c r="E16" s="185"/>
      <c r="F16" s="203"/>
      <c r="G16" s="215"/>
      <c r="H16" s="215"/>
    </row>
  </sheetData>
  <mergeCells count="9">
    <mergeCell ref="F6:G6"/>
    <mergeCell ref="A1:H1"/>
    <mergeCell ref="A3:A4"/>
    <mergeCell ref="C3:C4"/>
    <mergeCell ref="D3:D4"/>
    <mergeCell ref="E3:E4"/>
    <mergeCell ref="F3:F4"/>
    <mergeCell ref="G3:G4"/>
    <mergeCell ref="H3:H4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506D-C06B-4644-8216-819FDD78877F}">
  <dimension ref="A1:I17"/>
  <sheetViews>
    <sheetView workbookViewId="0">
      <selection activeCell="F23" sqref="F23"/>
    </sheetView>
  </sheetViews>
  <sheetFormatPr defaultRowHeight="12.75" x14ac:dyDescent="0.2"/>
  <cols>
    <col min="1" max="1" width="2.85546875" style="159" customWidth="1"/>
    <col min="2" max="2" width="8.85546875" style="159" bestFit="1" customWidth="1"/>
    <col min="3" max="3" width="10.140625" style="270" bestFit="1" customWidth="1"/>
    <col min="4" max="5" width="7.42578125" style="184" customWidth="1"/>
    <col min="6" max="6" width="11.28515625" style="184" customWidth="1"/>
    <col min="7" max="7" width="60.42578125" customWidth="1"/>
    <col min="8" max="8" width="61.140625" bestFit="1" customWidth="1"/>
  </cols>
  <sheetData>
    <row r="1" spans="1:9" s="198" customFormat="1" ht="15.75" x14ac:dyDescent="0.2">
      <c r="A1" s="345" t="s">
        <v>986</v>
      </c>
      <c r="B1" s="345"/>
      <c r="C1" s="345"/>
      <c r="D1" s="345"/>
      <c r="E1" s="345"/>
      <c r="F1" s="345"/>
      <c r="G1" s="345"/>
      <c r="H1" s="345"/>
    </row>
    <row r="2" spans="1:9" s="198" customFormat="1" x14ac:dyDescent="0.2">
      <c r="A2" s="159"/>
      <c r="B2" s="159"/>
      <c r="C2" s="268"/>
      <c r="D2" s="200"/>
      <c r="E2" s="200"/>
      <c r="F2" s="200"/>
    </row>
    <row r="3" spans="1:9" s="198" customFormat="1" ht="15" customHeight="1" x14ac:dyDescent="0.2">
      <c r="A3" s="346"/>
      <c r="B3" s="234" t="s">
        <v>913</v>
      </c>
      <c r="C3" s="369" t="s">
        <v>1</v>
      </c>
      <c r="D3" s="349" t="s">
        <v>772</v>
      </c>
      <c r="E3" s="349" t="s">
        <v>773</v>
      </c>
      <c r="F3" s="350" t="s">
        <v>774</v>
      </c>
      <c r="G3" s="351" t="s">
        <v>529</v>
      </c>
      <c r="H3" s="351" t="s">
        <v>2</v>
      </c>
    </row>
    <row r="4" spans="1:9" s="198" customFormat="1" ht="15" customHeight="1" x14ac:dyDescent="0.2">
      <c r="A4" s="346"/>
      <c r="B4" s="235" t="s">
        <v>914</v>
      </c>
      <c r="C4" s="369"/>
      <c r="D4" s="349"/>
      <c r="E4" s="349"/>
      <c r="F4" s="350"/>
      <c r="G4" s="351"/>
      <c r="H4" s="351"/>
    </row>
    <row r="5" spans="1:9" ht="15" customHeight="1" x14ac:dyDescent="0.2">
      <c r="C5" s="269"/>
      <c r="D5" s="188"/>
      <c r="E5" s="188"/>
      <c r="F5" s="188"/>
      <c r="G5" s="187"/>
      <c r="H5" s="187"/>
    </row>
    <row r="6" spans="1:9" ht="15" customHeight="1" x14ac:dyDescent="0.2">
      <c r="C6" s="269"/>
      <c r="D6" s="188"/>
      <c r="E6" s="188"/>
      <c r="F6" s="347">
        <f xml:space="preserve"> SUM(F8:F22)</f>
        <v>1.0208333333333333</v>
      </c>
      <c r="G6" s="348"/>
      <c r="H6" s="187"/>
    </row>
    <row r="8" spans="1:9" x14ac:dyDescent="0.2">
      <c r="A8" s="196">
        <v>1</v>
      </c>
      <c r="B8" s="235" t="s">
        <v>987</v>
      </c>
      <c r="C8" s="271">
        <v>46052</v>
      </c>
      <c r="D8" s="185">
        <v>0.5</v>
      </c>
      <c r="E8" s="185">
        <v>0.75</v>
      </c>
      <c r="F8" s="203">
        <f t="shared" ref="F8:F16" si="0">E8-D8</f>
        <v>0.25</v>
      </c>
      <c r="G8" s="215" t="s">
        <v>984</v>
      </c>
      <c r="H8" s="215" t="s">
        <v>985</v>
      </c>
    </row>
    <row r="9" spans="1:9" x14ac:dyDescent="0.2">
      <c r="A9" s="196">
        <v>2</v>
      </c>
      <c r="B9" s="234" t="s">
        <v>913</v>
      </c>
      <c r="C9" s="271">
        <v>46065</v>
      </c>
      <c r="D9" s="185">
        <v>0.75</v>
      </c>
      <c r="E9" s="185">
        <v>0.82291666666666663</v>
      </c>
      <c r="F9" s="203">
        <f t="shared" si="0"/>
        <v>7.291666666666663E-2</v>
      </c>
      <c r="G9" s="215" t="s">
        <v>988</v>
      </c>
      <c r="H9" s="215" t="s">
        <v>989</v>
      </c>
    </row>
    <row r="10" spans="1:9" x14ac:dyDescent="0.2">
      <c r="A10" s="196">
        <v>3</v>
      </c>
      <c r="B10" s="234" t="s">
        <v>913</v>
      </c>
      <c r="C10" s="271">
        <v>46078</v>
      </c>
      <c r="D10" s="185">
        <v>0.41666666666666669</v>
      </c>
      <c r="E10" s="185">
        <v>0.45833333333333331</v>
      </c>
      <c r="F10" s="203">
        <f t="shared" si="0"/>
        <v>4.166666666666663E-2</v>
      </c>
      <c r="G10" s="215" t="s">
        <v>990</v>
      </c>
      <c r="H10" s="215" t="s">
        <v>991</v>
      </c>
    </row>
    <row r="11" spans="1:9" x14ac:dyDescent="0.2">
      <c r="A11" s="196">
        <v>4</v>
      </c>
      <c r="B11" s="234" t="s">
        <v>913</v>
      </c>
      <c r="C11" s="271">
        <v>46149</v>
      </c>
      <c r="D11" s="185">
        <v>0.58333333333333337</v>
      </c>
      <c r="E11" s="185">
        <v>0.60416666666666663</v>
      </c>
      <c r="F11" s="203">
        <f t="shared" si="0"/>
        <v>2.0833333333333259E-2</v>
      </c>
      <c r="G11" s="215" t="s">
        <v>988</v>
      </c>
      <c r="H11" s="215" t="s">
        <v>992</v>
      </c>
    </row>
    <row r="12" spans="1:9" x14ac:dyDescent="0.2">
      <c r="A12" s="196">
        <v>5</v>
      </c>
      <c r="B12" s="234" t="s">
        <v>913</v>
      </c>
      <c r="C12" s="271">
        <v>46155</v>
      </c>
      <c r="D12" s="185">
        <v>0.60416666666666663</v>
      </c>
      <c r="E12" s="185">
        <v>0.64583333333333337</v>
      </c>
      <c r="F12" s="203">
        <f t="shared" si="0"/>
        <v>4.1666666666666741E-2</v>
      </c>
      <c r="G12" s="215" t="s">
        <v>993</v>
      </c>
      <c r="H12" s="215" t="s">
        <v>994</v>
      </c>
    </row>
    <row r="13" spans="1:9" x14ac:dyDescent="0.2">
      <c r="A13" s="196">
        <v>6</v>
      </c>
      <c r="B13" s="234" t="s">
        <v>913</v>
      </c>
      <c r="C13" s="271">
        <v>46196</v>
      </c>
      <c r="D13" s="185">
        <v>0.45833333333333331</v>
      </c>
      <c r="E13" s="185">
        <v>0.52083333333333337</v>
      </c>
      <c r="F13" s="203">
        <f t="shared" si="0"/>
        <v>6.2500000000000056E-2</v>
      </c>
      <c r="G13" s="215" t="s">
        <v>988</v>
      </c>
      <c r="H13" s="215" t="s">
        <v>995</v>
      </c>
    </row>
    <row r="14" spans="1:9" x14ac:dyDescent="0.2">
      <c r="A14" s="196">
        <v>7</v>
      </c>
      <c r="B14" s="234" t="s">
        <v>913</v>
      </c>
      <c r="C14" s="271">
        <v>46196</v>
      </c>
      <c r="D14" s="185">
        <v>0.71875</v>
      </c>
      <c r="E14" s="185">
        <v>0.9375</v>
      </c>
      <c r="F14" s="203">
        <f t="shared" si="0"/>
        <v>0.21875</v>
      </c>
      <c r="G14" s="215" t="s">
        <v>996</v>
      </c>
      <c r="H14" s="215" t="s">
        <v>762</v>
      </c>
      <c r="I14" s="285" t="s">
        <v>998</v>
      </c>
    </row>
    <row r="15" spans="1:9" x14ac:dyDescent="0.2">
      <c r="A15" s="196">
        <v>8</v>
      </c>
      <c r="B15" s="234" t="s">
        <v>913</v>
      </c>
      <c r="C15" s="271">
        <v>46278</v>
      </c>
      <c r="D15" s="185">
        <v>0.58333333333333337</v>
      </c>
      <c r="E15" s="185">
        <v>0.80208333333333337</v>
      </c>
      <c r="F15" s="203">
        <f t="shared" si="0"/>
        <v>0.21875</v>
      </c>
      <c r="G15" s="215" t="s">
        <v>997</v>
      </c>
      <c r="H15" s="215" t="s">
        <v>685</v>
      </c>
      <c r="I15" s="285" t="s">
        <v>998</v>
      </c>
    </row>
    <row r="16" spans="1:9" x14ac:dyDescent="0.2">
      <c r="A16" s="196">
        <v>9</v>
      </c>
      <c r="B16" s="234" t="s">
        <v>913</v>
      </c>
      <c r="C16" s="271">
        <v>46285</v>
      </c>
      <c r="D16" s="185">
        <v>0.41666666666666669</v>
      </c>
      <c r="E16" s="185">
        <v>0.51041666666666663</v>
      </c>
      <c r="F16" s="203">
        <f t="shared" si="0"/>
        <v>9.3749999999999944E-2</v>
      </c>
      <c r="G16" s="215" t="s">
        <v>807</v>
      </c>
      <c r="H16" s="196" t="s">
        <v>999</v>
      </c>
    </row>
    <row r="17" spans="1:8" x14ac:dyDescent="0.2">
      <c r="A17" s="196"/>
      <c r="B17" s="283"/>
      <c r="C17" s="271"/>
      <c r="D17" s="185"/>
      <c r="E17" s="185"/>
      <c r="F17" s="203"/>
      <c r="G17" s="215"/>
      <c r="H17" s="215"/>
    </row>
  </sheetData>
  <mergeCells count="9">
    <mergeCell ref="F6:G6"/>
    <mergeCell ref="A1:H1"/>
    <mergeCell ref="A3:A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0E6B-D190-4EF7-A42E-32136110B485}">
  <sheetPr>
    <tabColor rgb="FFC00000"/>
    <pageSetUpPr fitToPage="1"/>
  </sheetPr>
  <dimension ref="A1:G559"/>
  <sheetViews>
    <sheetView tabSelected="1" topLeftCell="A44" zoomScaleNormal="100" workbookViewId="0">
      <selection activeCell="H44" sqref="H1:H1048576"/>
    </sheetView>
  </sheetViews>
  <sheetFormatPr defaultRowHeight="18" x14ac:dyDescent="0.2"/>
  <cols>
    <col min="1" max="1" width="15.42578125" style="261" bestFit="1" customWidth="1"/>
    <col min="2" max="2" width="17.28515625" style="262" bestFit="1" customWidth="1"/>
    <col min="3" max="3" width="15.140625" style="262" bestFit="1" customWidth="1"/>
    <col min="4" max="4" width="12.5703125" style="262" bestFit="1" customWidth="1"/>
    <col min="5" max="5" width="16.85546875" style="200" bestFit="1" customWidth="1"/>
    <col min="6" max="6" width="75.140625" style="231" bestFit="1" customWidth="1"/>
    <col min="7" max="7" width="85.42578125" style="290" bestFit="1" customWidth="1"/>
    <col min="8" max="8" width="9.140625" style="198"/>
    <col min="9" max="9" width="4" style="198" bestFit="1" customWidth="1"/>
    <col min="10" max="10" width="9.140625" style="198"/>
    <col min="11" max="11" width="10.140625" style="198" bestFit="1" customWidth="1"/>
    <col min="12" max="16384" width="9.140625" style="198"/>
  </cols>
  <sheetData>
    <row r="1" spans="1:7" ht="20.25" x14ac:dyDescent="0.2">
      <c r="A1" s="296" t="s">
        <v>1</v>
      </c>
      <c r="B1" s="297" t="s">
        <v>772</v>
      </c>
      <c r="C1" s="297" t="s">
        <v>1000</v>
      </c>
      <c r="D1" s="297" t="s">
        <v>1001</v>
      </c>
      <c r="E1" s="298" t="s">
        <v>1008</v>
      </c>
      <c r="F1" s="299" t="s">
        <v>1009</v>
      </c>
      <c r="G1" s="300" t="s">
        <v>1010</v>
      </c>
    </row>
    <row r="2" spans="1:7" s="236" customFormat="1" x14ac:dyDescent="0.2">
      <c r="A2" s="257">
        <v>37653</v>
      </c>
      <c r="B2" s="258">
        <v>0.83333333333333337</v>
      </c>
      <c r="C2" s="258">
        <v>0</v>
      </c>
      <c r="D2" s="258">
        <f t="shared" ref="D2:D12" si="0">MOD(C2-B2,1)</f>
        <v>0.16666666666666663</v>
      </c>
      <c r="E2" s="249" t="s">
        <v>904</v>
      </c>
      <c r="F2" s="252" t="s">
        <v>524</v>
      </c>
      <c r="G2" s="286" t="s">
        <v>6</v>
      </c>
    </row>
    <row r="3" spans="1:7" s="236" customFormat="1" x14ac:dyDescent="0.2">
      <c r="A3" s="257">
        <v>37703</v>
      </c>
      <c r="B3" s="258">
        <v>0.39583333333333331</v>
      </c>
      <c r="C3" s="258">
        <v>0.52083333333333337</v>
      </c>
      <c r="D3" s="258">
        <f t="shared" si="0"/>
        <v>0.12500000000000006</v>
      </c>
      <c r="E3" s="249" t="s">
        <v>904</v>
      </c>
      <c r="F3" s="252" t="s">
        <v>524</v>
      </c>
      <c r="G3" s="286" t="s">
        <v>7</v>
      </c>
    </row>
    <row r="4" spans="1:7" s="236" customFormat="1" x14ac:dyDescent="0.2">
      <c r="A4" s="257">
        <v>37713</v>
      </c>
      <c r="B4" s="258">
        <v>0.63541666666666663</v>
      </c>
      <c r="C4" s="258">
        <v>0.79166666666666663</v>
      </c>
      <c r="D4" s="258">
        <f t="shared" si="0"/>
        <v>0.15625</v>
      </c>
      <c r="E4" s="249" t="s">
        <v>904</v>
      </c>
      <c r="F4" s="252" t="s">
        <v>524</v>
      </c>
      <c r="G4" s="286" t="s">
        <v>8</v>
      </c>
    </row>
    <row r="5" spans="1:7" s="236" customFormat="1" x14ac:dyDescent="0.2">
      <c r="A5" s="257">
        <v>37722</v>
      </c>
      <c r="B5" s="258">
        <v>0.84722222222222221</v>
      </c>
      <c r="C5" s="258">
        <v>0.875</v>
      </c>
      <c r="D5" s="258">
        <f t="shared" si="0"/>
        <v>2.777777777777779E-2</v>
      </c>
      <c r="E5" s="249" t="s">
        <v>904</v>
      </c>
      <c r="F5" s="252" t="s">
        <v>524</v>
      </c>
      <c r="G5" s="286" t="s">
        <v>12</v>
      </c>
    </row>
    <row r="6" spans="1:7" s="236" customFormat="1" x14ac:dyDescent="0.2">
      <c r="A6" s="257">
        <v>37724</v>
      </c>
      <c r="B6" s="258">
        <v>0.39583333333333331</v>
      </c>
      <c r="C6" s="258">
        <v>0.89583333333333337</v>
      </c>
      <c r="D6" s="258">
        <f t="shared" si="0"/>
        <v>0.5</v>
      </c>
      <c r="E6" s="249" t="s">
        <v>904</v>
      </c>
      <c r="F6" s="252" t="s">
        <v>524</v>
      </c>
      <c r="G6" s="286" t="s">
        <v>11</v>
      </c>
    </row>
    <row r="7" spans="1:7" s="236" customFormat="1" x14ac:dyDescent="0.2">
      <c r="A7" s="257">
        <v>37765</v>
      </c>
      <c r="B7" s="258">
        <v>0.8125</v>
      </c>
      <c r="C7" s="258">
        <v>0.97916666666666663</v>
      </c>
      <c r="D7" s="258">
        <f t="shared" si="0"/>
        <v>0.16666666666666663</v>
      </c>
      <c r="E7" s="249" t="s">
        <v>904</v>
      </c>
      <c r="F7" s="252" t="s">
        <v>524</v>
      </c>
      <c r="G7" s="286" t="s">
        <v>14</v>
      </c>
    </row>
    <row r="8" spans="1:7" s="236" customFormat="1" x14ac:dyDescent="0.2">
      <c r="A8" s="257">
        <v>37792</v>
      </c>
      <c r="B8" s="258">
        <v>0.8125</v>
      </c>
      <c r="C8" s="258">
        <v>0.97916666666666663</v>
      </c>
      <c r="D8" s="258">
        <f t="shared" si="0"/>
        <v>0.16666666666666663</v>
      </c>
      <c r="E8" s="249" t="s">
        <v>904</v>
      </c>
      <c r="F8" s="252" t="s">
        <v>524</v>
      </c>
      <c r="G8" s="286" t="s">
        <v>16</v>
      </c>
    </row>
    <row r="9" spans="1:7" s="236" customFormat="1" x14ac:dyDescent="0.2">
      <c r="A9" s="257">
        <v>37912</v>
      </c>
      <c r="B9" s="258">
        <v>0.5625</v>
      </c>
      <c r="C9" s="258">
        <v>0.75</v>
      </c>
      <c r="D9" s="258">
        <f t="shared" si="0"/>
        <v>0.1875</v>
      </c>
      <c r="E9" s="249" t="s">
        <v>904</v>
      </c>
      <c r="F9" s="252" t="s">
        <v>524</v>
      </c>
      <c r="G9" s="286" t="s">
        <v>17</v>
      </c>
    </row>
    <row r="10" spans="1:7" s="236" customFormat="1" x14ac:dyDescent="0.2">
      <c r="A10" s="257">
        <v>37961</v>
      </c>
      <c r="B10" s="258">
        <v>0.5625</v>
      </c>
      <c r="C10" s="258">
        <v>0.8125</v>
      </c>
      <c r="D10" s="258">
        <f t="shared" si="0"/>
        <v>0.25</v>
      </c>
      <c r="E10" s="249" t="s">
        <v>904</v>
      </c>
      <c r="F10" s="252" t="s">
        <v>524</v>
      </c>
      <c r="G10" s="286" t="s">
        <v>19</v>
      </c>
    </row>
    <row r="11" spans="1:7" s="236" customFormat="1" x14ac:dyDescent="0.2">
      <c r="A11" s="257">
        <v>37962</v>
      </c>
      <c r="B11" s="258">
        <v>0.5625</v>
      </c>
      <c r="C11" s="258">
        <v>0.8125</v>
      </c>
      <c r="D11" s="258">
        <f t="shared" si="0"/>
        <v>0.25</v>
      </c>
      <c r="E11" s="249" t="s">
        <v>904</v>
      </c>
      <c r="F11" s="252" t="s">
        <v>524</v>
      </c>
      <c r="G11" s="286" t="s">
        <v>21</v>
      </c>
    </row>
    <row r="12" spans="1:7" s="236" customFormat="1" x14ac:dyDescent="0.2">
      <c r="A12" s="257">
        <v>37975</v>
      </c>
      <c r="B12" s="258">
        <v>0.32291666666666669</v>
      </c>
      <c r="C12" s="258">
        <v>0.57291666666666663</v>
      </c>
      <c r="D12" s="258">
        <f t="shared" si="0"/>
        <v>0.24999999999999994</v>
      </c>
      <c r="E12" s="249" t="s">
        <v>904</v>
      </c>
      <c r="F12" s="252" t="s">
        <v>524</v>
      </c>
      <c r="G12" s="286" t="s">
        <v>22</v>
      </c>
    </row>
    <row r="13" spans="1:7" s="236" customFormat="1" x14ac:dyDescent="0.2">
      <c r="A13" s="257">
        <v>38011</v>
      </c>
      <c r="B13" s="258">
        <v>0.375</v>
      </c>
      <c r="C13" s="258">
        <v>0.5625</v>
      </c>
      <c r="D13" s="258">
        <f t="shared" ref="D13:D30" si="1">MOD(C13-B13,1)</f>
        <v>0.1875</v>
      </c>
      <c r="E13" s="249" t="s">
        <v>904</v>
      </c>
      <c r="F13" s="252" t="s">
        <v>524</v>
      </c>
      <c r="G13" s="286" t="s">
        <v>25</v>
      </c>
    </row>
    <row r="14" spans="1:7" s="236" customFormat="1" x14ac:dyDescent="0.2">
      <c r="A14" s="257">
        <v>38066</v>
      </c>
      <c r="B14" s="258">
        <v>0.375</v>
      </c>
      <c r="C14" s="258">
        <v>0.52083333333333337</v>
      </c>
      <c r="D14" s="258">
        <f t="shared" si="1"/>
        <v>0.14583333333333337</v>
      </c>
      <c r="E14" s="249" t="s">
        <v>904</v>
      </c>
      <c r="F14" s="252" t="s">
        <v>524</v>
      </c>
      <c r="G14" s="286" t="s">
        <v>27</v>
      </c>
    </row>
    <row r="15" spans="1:7" s="236" customFormat="1" x14ac:dyDescent="0.2">
      <c r="A15" s="257">
        <v>38067</v>
      </c>
      <c r="B15" s="258">
        <v>0.58333333333333337</v>
      </c>
      <c r="C15" s="258">
        <v>0.75</v>
      </c>
      <c r="D15" s="258">
        <f t="shared" si="1"/>
        <v>0.16666666666666663</v>
      </c>
      <c r="E15" s="249" t="s">
        <v>904</v>
      </c>
      <c r="F15" s="252" t="s">
        <v>524</v>
      </c>
      <c r="G15" s="286" t="s">
        <v>29</v>
      </c>
    </row>
    <row r="16" spans="1:7" s="236" customFormat="1" x14ac:dyDescent="0.2">
      <c r="A16" s="257">
        <v>38073</v>
      </c>
      <c r="B16" s="258">
        <v>0.375</v>
      </c>
      <c r="C16" s="258">
        <v>0.58333333333333337</v>
      </c>
      <c r="D16" s="258">
        <f t="shared" si="1"/>
        <v>0.20833333333333337</v>
      </c>
      <c r="E16" s="249" t="s">
        <v>904</v>
      </c>
      <c r="F16" s="252" t="s">
        <v>524</v>
      </c>
      <c r="G16" s="286" t="s">
        <v>31</v>
      </c>
    </row>
    <row r="17" spans="1:7" s="236" customFormat="1" x14ac:dyDescent="0.2">
      <c r="A17" s="257">
        <v>38079</v>
      </c>
      <c r="B17" s="258">
        <v>0.79166666666666663</v>
      </c>
      <c r="C17" s="258">
        <v>0.95833333333333337</v>
      </c>
      <c r="D17" s="258">
        <f t="shared" si="1"/>
        <v>0.16666666666666674</v>
      </c>
      <c r="E17" s="249" t="s">
        <v>904</v>
      </c>
      <c r="F17" s="252" t="s">
        <v>524</v>
      </c>
      <c r="G17" s="286" t="s">
        <v>33</v>
      </c>
    </row>
    <row r="18" spans="1:7" s="236" customFormat="1" x14ac:dyDescent="0.2">
      <c r="A18" s="257">
        <v>38086</v>
      </c>
      <c r="B18" s="258">
        <v>0.84375</v>
      </c>
      <c r="C18" s="258">
        <v>0.84375</v>
      </c>
      <c r="D18" s="258">
        <f t="shared" si="1"/>
        <v>0</v>
      </c>
      <c r="E18" s="249" t="s">
        <v>904</v>
      </c>
      <c r="F18" s="252" t="s">
        <v>524</v>
      </c>
      <c r="G18" s="286" t="s">
        <v>35</v>
      </c>
    </row>
    <row r="19" spans="1:7" s="236" customFormat="1" x14ac:dyDescent="0.2">
      <c r="A19" s="257">
        <v>38109</v>
      </c>
      <c r="B19" s="258">
        <v>0.58333333333333337</v>
      </c>
      <c r="C19" s="258">
        <v>0.79166666666666663</v>
      </c>
      <c r="D19" s="258">
        <f t="shared" si="1"/>
        <v>0.20833333333333326</v>
      </c>
      <c r="E19" s="249" t="s">
        <v>904</v>
      </c>
      <c r="F19" s="252" t="s">
        <v>524</v>
      </c>
      <c r="G19" s="286" t="s">
        <v>36</v>
      </c>
    </row>
    <row r="20" spans="1:7" s="236" customFormat="1" x14ac:dyDescent="0.2">
      <c r="A20" s="257">
        <v>38114</v>
      </c>
      <c r="B20" s="258">
        <v>0.79166666666666663</v>
      </c>
      <c r="C20" s="258">
        <v>0.95833333333333337</v>
      </c>
      <c r="D20" s="258">
        <f t="shared" si="1"/>
        <v>0.16666666666666674</v>
      </c>
      <c r="E20" s="249" t="s">
        <v>904</v>
      </c>
      <c r="F20" s="252" t="s">
        <v>524</v>
      </c>
      <c r="G20" s="286" t="s">
        <v>33</v>
      </c>
    </row>
    <row r="21" spans="1:7" s="236" customFormat="1" x14ac:dyDescent="0.2">
      <c r="A21" s="257">
        <v>38131</v>
      </c>
      <c r="B21" s="258">
        <v>0.8125</v>
      </c>
      <c r="C21" s="258">
        <v>0.97916666666666663</v>
      </c>
      <c r="D21" s="258">
        <f t="shared" si="1"/>
        <v>0.16666666666666663</v>
      </c>
      <c r="E21" s="249" t="s">
        <v>904</v>
      </c>
      <c r="F21" s="252" t="s">
        <v>524</v>
      </c>
      <c r="G21" s="286" t="s">
        <v>38</v>
      </c>
    </row>
    <row r="22" spans="1:7" s="236" customFormat="1" x14ac:dyDescent="0.2">
      <c r="A22" s="257">
        <v>38142</v>
      </c>
      <c r="B22" s="258">
        <v>0.79166666666666663</v>
      </c>
      <c r="C22" s="258">
        <v>0.95833333333333337</v>
      </c>
      <c r="D22" s="258">
        <f t="shared" si="1"/>
        <v>0.16666666666666674</v>
      </c>
      <c r="E22" s="249" t="s">
        <v>904</v>
      </c>
      <c r="F22" s="252" t="s">
        <v>524</v>
      </c>
      <c r="G22" s="286" t="s">
        <v>33</v>
      </c>
    </row>
    <row r="23" spans="1:7" s="236" customFormat="1" x14ac:dyDescent="0.2">
      <c r="A23" s="257">
        <v>38143</v>
      </c>
      <c r="B23" s="258">
        <v>0.79166666666666663</v>
      </c>
      <c r="C23" s="258">
        <v>0.91666666666666663</v>
      </c>
      <c r="D23" s="258">
        <f t="shared" si="1"/>
        <v>0.125</v>
      </c>
      <c r="E23" s="249" t="s">
        <v>904</v>
      </c>
      <c r="F23" s="252" t="s">
        <v>524</v>
      </c>
      <c r="G23" s="286" t="s">
        <v>39</v>
      </c>
    </row>
    <row r="24" spans="1:7" s="236" customFormat="1" x14ac:dyDescent="0.2">
      <c r="A24" s="257">
        <v>38144</v>
      </c>
      <c r="B24" s="258">
        <v>0.79166666666666663</v>
      </c>
      <c r="C24" s="258">
        <v>0.91666666666666663</v>
      </c>
      <c r="D24" s="258">
        <f t="shared" si="1"/>
        <v>0.125</v>
      </c>
      <c r="E24" s="249" t="s">
        <v>904</v>
      </c>
      <c r="F24" s="252" t="s">
        <v>524</v>
      </c>
      <c r="G24" s="286" t="s">
        <v>39</v>
      </c>
    </row>
    <row r="25" spans="1:7" s="236" customFormat="1" x14ac:dyDescent="0.2">
      <c r="A25" s="257">
        <v>38158</v>
      </c>
      <c r="B25" s="258">
        <v>0.8125</v>
      </c>
      <c r="C25" s="258">
        <v>0.97916666666666663</v>
      </c>
      <c r="D25" s="258">
        <f t="shared" si="1"/>
        <v>0.16666666666666663</v>
      </c>
      <c r="E25" s="249" t="s">
        <v>904</v>
      </c>
      <c r="F25" s="252" t="s">
        <v>524</v>
      </c>
      <c r="G25" s="286" t="s">
        <v>41</v>
      </c>
    </row>
    <row r="26" spans="1:7" s="236" customFormat="1" x14ac:dyDescent="0.2">
      <c r="A26" s="257">
        <v>38161</v>
      </c>
      <c r="B26" s="258">
        <v>0.75</v>
      </c>
      <c r="C26" s="258">
        <v>0.97916666666666663</v>
      </c>
      <c r="D26" s="258">
        <f t="shared" si="1"/>
        <v>0.22916666666666663</v>
      </c>
      <c r="E26" s="249" t="s">
        <v>904</v>
      </c>
      <c r="F26" s="252" t="s">
        <v>524</v>
      </c>
      <c r="G26" s="286" t="s">
        <v>42</v>
      </c>
    </row>
    <row r="27" spans="1:7" s="236" customFormat="1" x14ac:dyDescent="0.2">
      <c r="A27" s="257">
        <v>38170</v>
      </c>
      <c r="B27" s="258">
        <v>0.875</v>
      </c>
      <c r="C27" s="258">
        <v>0</v>
      </c>
      <c r="D27" s="258">
        <f t="shared" si="1"/>
        <v>0.125</v>
      </c>
      <c r="E27" s="249" t="s">
        <v>904</v>
      </c>
      <c r="F27" s="252" t="s">
        <v>524</v>
      </c>
      <c r="G27" s="286" t="s">
        <v>36</v>
      </c>
    </row>
    <row r="28" spans="1:7" s="236" customFormat="1" x14ac:dyDescent="0.2">
      <c r="A28" s="257">
        <v>38187</v>
      </c>
      <c r="B28" s="258">
        <v>0.79166666666666663</v>
      </c>
      <c r="C28" s="258">
        <v>0.97916666666666663</v>
      </c>
      <c r="D28" s="258">
        <f t="shared" si="1"/>
        <v>0.1875</v>
      </c>
      <c r="E28" s="249" t="s">
        <v>904</v>
      </c>
      <c r="F28" s="252" t="s">
        <v>524</v>
      </c>
      <c r="G28" s="286" t="s">
        <v>45</v>
      </c>
    </row>
    <row r="29" spans="1:7" s="236" customFormat="1" x14ac:dyDescent="0.2">
      <c r="A29" s="257">
        <v>38191</v>
      </c>
      <c r="B29" s="258">
        <v>0.83333333333333337</v>
      </c>
      <c r="C29" s="258">
        <v>0.95833333333333337</v>
      </c>
      <c r="D29" s="258">
        <f t="shared" si="1"/>
        <v>0.125</v>
      </c>
      <c r="E29" s="249" t="s">
        <v>904</v>
      </c>
      <c r="F29" s="252" t="s">
        <v>524</v>
      </c>
      <c r="G29" s="286" t="s">
        <v>47</v>
      </c>
    </row>
    <row r="30" spans="1:7" s="236" customFormat="1" x14ac:dyDescent="0.2">
      <c r="A30" s="257">
        <v>38198</v>
      </c>
      <c r="B30" s="258">
        <v>0.83333333333333337</v>
      </c>
      <c r="C30" s="258">
        <v>0</v>
      </c>
      <c r="D30" s="258">
        <f t="shared" si="1"/>
        <v>0.16666666666666663</v>
      </c>
      <c r="E30" s="249" t="s">
        <v>904</v>
      </c>
      <c r="F30" s="252" t="s">
        <v>524</v>
      </c>
      <c r="G30" s="286" t="s">
        <v>47</v>
      </c>
    </row>
    <row r="31" spans="1:7" s="236" customFormat="1" x14ac:dyDescent="0.2">
      <c r="A31" s="257">
        <v>38296</v>
      </c>
      <c r="B31" s="258" t="s">
        <v>896</v>
      </c>
      <c r="C31" s="258">
        <v>0.95833333333333337</v>
      </c>
      <c r="D31" s="258">
        <v>0.16666666666666666</v>
      </c>
      <c r="E31" s="249" t="s">
        <v>904</v>
      </c>
      <c r="F31" s="252" t="s">
        <v>524</v>
      </c>
      <c r="G31" s="286" t="s">
        <v>33</v>
      </c>
    </row>
    <row r="32" spans="1:7" s="236" customFormat="1" x14ac:dyDescent="0.2">
      <c r="A32" s="257">
        <v>38305</v>
      </c>
      <c r="B32" s="258">
        <v>0.375</v>
      </c>
      <c r="C32" s="258">
        <v>0.5625</v>
      </c>
      <c r="D32" s="258">
        <f>MOD(C32-B32,1)</f>
        <v>0.1875</v>
      </c>
      <c r="E32" s="249" t="s">
        <v>904</v>
      </c>
      <c r="F32" s="252" t="s">
        <v>524</v>
      </c>
      <c r="G32" s="286" t="s">
        <v>25</v>
      </c>
    </row>
    <row r="33" spans="1:7" s="236" customFormat="1" x14ac:dyDescent="0.2">
      <c r="A33" s="257">
        <v>38324</v>
      </c>
      <c r="B33" s="258">
        <v>0.79166666666666663</v>
      </c>
      <c r="C33" s="258">
        <v>0.95833333333333337</v>
      </c>
      <c r="D33" s="258">
        <f>MOD(C33-B33,1)</f>
        <v>0.16666666666666674</v>
      </c>
      <c r="E33" s="249" t="s">
        <v>904</v>
      </c>
      <c r="F33" s="252" t="s">
        <v>524</v>
      </c>
      <c r="G33" s="286" t="s">
        <v>33</v>
      </c>
    </row>
    <row r="34" spans="1:7" s="236" customFormat="1" x14ac:dyDescent="0.2">
      <c r="A34" s="257">
        <v>38329</v>
      </c>
      <c r="B34" s="258">
        <v>0.5625</v>
      </c>
      <c r="C34" s="258">
        <v>0.77083333333333337</v>
      </c>
      <c r="D34" s="258">
        <f>MOD(C34-B34,1)</f>
        <v>0.20833333333333337</v>
      </c>
      <c r="E34" s="249" t="s">
        <v>904</v>
      </c>
      <c r="F34" s="252" t="s">
        <v>524</v>
      </c>
      <c r="G34" s="286" t="s">
        <v>50</v>
      </c>
    </row>
    <row r="35" spans="1:7" s="236" customFormat="1" x14ac:dyDescent="0.2">
      <c r="A35" s="257">
        <v>38332</v>
      </c>
      <c r="B35" s="258">
        <v>0.58333333333333337</v>
      </c>
      <c r="C35" s="258">
        <v>0.75</v>
      </c>
      <c r="D35" s="258">
        <f>MOD(C35-B35,1)</f>
        <v>0.16666666666666663</v>
      </c>
      <c r="E35" s="249" t="s">
        <v>904</v>
      </c>
      <c r="F35" s="252" t="s">
        <v>524</v>
      </c>
      <c r="G35" s="286" t="s">
        <v>52</v>
      </c>
    </row>
    <row r="36" spans="1:7" s="236" customFormat="1" x14ac:dyDescent="0.2">
      <c r="A36" s="257">
        <v>38359</v>
      </c>
      <c r="B36" s="258">
        <v>0.79166666666666663</v>
      </c>
      <c r="C36" s="258">
        <v>0.95833333333333337</v>
      </c>
      <c r="D36" s="258">
        <f t="shared" ref="D36:D65" si="2">MOD(C36-B36,1)</f>
        <v>0.16666666666666674</v>
      </c>
      <c r="E36" s="249" t="s">
        <v>904</v>
      </c>
      <c r="F36" s="252" t="s">
        <v>524</v>
      </c>
      <c r="G36" s="286" t="s">
        <v>33</v>
      </c>
    </row>
    <row r="37" spans="1:7" s="236" customFormat="1" x14ac:dyDescent="0.2">
      <c r="A37" s="257">
        <v>38395</v>
      </c>
      <c r="B37" s="258">
        <v>0.54166666666666663</v>
      </c>
      <c r="C37" s="258">
        <v>0.70833333333333337</v>
      </c>
      <c r="D37" s="258">
        <f t="shared" si="2"/>
        <v>0.16666666666666674</v>
      </c>
      <c r="E37" s="249" t="s">
        <v>904</v>
      </c>
      <c r="F37" s="252" t="s">
        <v>524</v>
      </c>
      <c r="G37" s="286" t="s">
        <v>55</v>
      </c>
    </row>
    <row r="38" spans="1:7" s="236" customFormat="1" x14ac:dyDescent="0.2">
      <c r="A38" s="257">
        <v>38402</v>
      </c>
      <c r="B38" s="258">
        <v>0.54166666666666663</v>
      </c>
      <c r="C38" s="258">
        <v>0.70833333333333337</v>
      </c>
      <c r="D38" s="258">
        <f t="shared" si="2"/>
        <v>0.16666666666666674</v>
      </c>
      <c r="E38" s="249" t="s">
        <v>904</v>
      </c>
      <c r="F38" s="252" t="s">
        <v>524</v>
      </c>
      <c r="G38" s="286" t="s">
        <v>55</v>
      </c>
    </row>
    <row r="39" spans="1:7" s="236" customFormat="1" x14ac:dyDescent="0.2">
      <c r="A39" s="257">
        <v>38403</v>
      </c>
      <c r="B39" s="258">
        <v>0.54166666666666663</v>
      </c>
      <c r="C39" s="258">
        <v>0.70833333333333337</v>
      </c>
      <c r="D39" s="258">
        <f t="shared" si="2"/>
        <v>0.16666666666666674</v>
      </c>
      <c r="E39" s="249" t="s">
        <v>904</v>
      </c>
      <c r="F39" s="252" t="s">
        <v>524</v>
      </c>
      <c r="G39" s="286" t="s">
        <v>55</v>
      </c>
    </row>
    <row r="40" spans="1:7" s="236" customFormat="1" x14ac:dyDescent="0.2">
      <c r="A40" s="257">
        <v>38415</v>
      </c>
      <c r="B40" s="258">
        <v>0.79166666666666663</v>
      </c>
      <c r="C40" s="258">
        <v>0.95833333333333337</v>
      </c>
      <c r="D40" s="258">
        <f t="shared" si="2"/>
        <v>0.16666666666666674</v>
      </c>
      <c r="E40" s="249" t="s">
        <v>904</v>
      </c>
      <c r="F40" s="252" t="s">
        <v>524</v>
      </c>
      <c r="G40" s="286" t="s">
        <v>33</v>
      </c>
    </row>
    <row r="41" spans="1:7" s="236" customFormat="1" x14ac:dyDescent="0.2">
      <c r="A41" s="257">
        <v>38424</v>
      </c>
      <c r="B41" s="258">
        <v>0.5625</v>
      </c>
      <c r="C41" s="258">
        <v>0.75</v>
      </c>
      <c r="D41" s="258">
        <f t="shared" si="2"/>
        <v>0.1875</v>
      </c>
      <c r="E41" s="249" t="s">
        <v>904</v>
      </c>
      <c r="F41" s="252" t="s">
        <v>524</v>
      </c>
      <c r="G41" s="286" t="s">
        <v>65</v>
      </c>
    </row>
    <row r="42" spans="1:7" s="236" customFormat="1" x14ac:dyDescent="0.2">
      <c r="A42" s="257">
        <v>38429</v>
      </c>
      <c r="B42" s="258">
        <v>0.83333333333333337</v>
      </c>
      <c r="C42" s="258">
        <v>0.9375</v>
      </c>
      <c r="D42" s="258">
        <f t="shared" si="2"/>
        <v>0.10416666666666663</v>
      </c>
      <c r="E42" s="249" t="s">
        <v>904</v>
      </c>
      <c r="F42" s="252" t="s">
        <v>524</v>
      </c>
      <c r="G42" s="286" t="s">
        <v>57</v>
      </c>
    </row>
    <row r="43" spans="1:7" s="236" customFormat="1" x14ac:dyDescent="0.2">
      <c r="A43" s="257">
        <v>38430</v>
      </c>
      <c r="B43" s="258">
        <v>0.5625</v>
      </c>
      <c r="C43" s="258">
        <v>0.75</v>
      </c>
      <c r="D43" s="258">
        <f t="shared" si="2"/>
        <v>0.1875</v>
      </c>
      <c r="E43" s="249" t="s">
        <v>904</v>
      </c>
      <c r="F43" s="252" t="s">
        <v>524</v>
      </c>
      <c r="G43" s="286" t="s">
        <v>66</v>
      </c>
    </row>
    <row r="44" spans="1:7" s="236" customFormat="1" x14ac:dyDescent="0.2">
      <c r="A44" s="257">
        <v>38431</v>
      </c>
      <c r="B44" s="258">
        <v>0.375</v>
      </c>
      <c r="C44" s="258">
        <v>0.54166666666666663</v>
      </c>
      <c r="D44" s="258">
        <f t="shared" si="2"/>
        <v>0.16666666666666663</v>
      </c>
      <c r="E44" s="249" t="s">
        <v>904</v>
      </c>
      <c r="F44" s="252" t="s">
        <v>524</v>
      </c>
      <c r="G44" s="286" t="s">
        <v>67</v>
      </c>
    </row>
    <row r="45" spans="1:7" s="236" customFormat="1" x14ac:dyDescent="0.2">
      <c r="A45" s="257">
        <v>38436</v>
      </c>
      <c r="B45" s="258">
        <v>0.83333333333333337</v>
      </c>
      <c r="C45" s="258">
        <v>0.9375</v>
      </c>
      <c r="D45" s="258">
        <f t="shared" si="2"/>
        <v>0.10416666666666663</v>
      </c>
      <c r="E45" s="249" t="s">
        <v>904</v>
      </c>
      <c r="F45" s="252" t="s">
        <v>524</v>
      </c>
      <c r="G45" s="286" t="s">
        <v>922</v>
      </c>
    </row>
    <row r="46" spans="1:7" s="236" customFormat="1" x14ac:dyDescent="0.2">
      <c r="A46" s="257">
        <v>38438</v>
      </c>
      <c r="B46" s="258">
        <v>0.60416666666666663</v>
      </c>
      <c r="C46" s="258">
        <v>0.78125</v>
      </c>
      <c r="D46" s="258">
        <f t="shared" si="2"/>
        <v>0.17708333333333337</v>
      </c>
      <c r="E46" s="249" t="s">
        <v>904</v>
      </c>
      <c r="F46" s="252" t="s">
        <v>524</v>
      </c>
      <c r="G46" s="286" t="s">
        <v>61</v>
      </c>
    </row>
    <row r="47" spans="1:7" s="236" customFormat="1" x14ac:dyDescent="0.2">
      <c r="A47" s="257">
        <v>38443</v>
      </c>
      <c r="B47" s="258">
        <v>0.79166666666666663</v>
      </c>
      <c r="C47" s="258">
        <v>0.95833333333333337</v>
      </c>
      <c r="D47" s="258">
        <f t="shared" si="2"/>
        <v>0.16666666666666674</v>
      </c>
      <c r="E47" s="249" t="s">
        <v>904</v>
      </c>
      <c r="F47" s="252" t="s">
        <v>524</v>
      </c>
      <c r="G47" s="286" t="s">
        <v>33</v>
      </c>
    </row>
    <row r="48" spans="1:7" s="236" customFormat="1" x14ac:dyDescent="0.2">
      <c r="A48" s="257">
        <v>38450</v>
      </c>
      <c r="B48" s="258">
        <v>0.58333333333333337</v>
      </c>
      <c r="C48" s="258">
        <v>0.72916666666666663</v>
      </c>
      <c r="D48" s="258">
        <f t="shared" si="2"/>
        <v>0.14583333333333326</v>
      </c>
      <c r="E48" s="249" t="s">
        <v>904</v>
      </c>
      <c r="F48" s="252" t="s">
        <v>524</v>
      </c>
      <c r="G48" s="286" t="s">
        <v>63</v>
      </c>
    </row>
    <row r="49" spans="1:7" s="236" customFormat="1" x14ac:dyDescent="0.2">
      <c r="A49" s="257">
        <v>38478</v>
      </c>
      <c r="B49" s="258">
        <v>0.79166666666666663</v>
      </c>
      <c r="C49" s="258">
        <v>0.95833333333333337</v>
      </c>
      <c r="D49" s="258">
        <f t="shared" si="2"/>
        <v>0.16666666666666674</v>
      </c>
      <c r="E49" s="249" t="s">
        <v>904</v>
      </c>
      <c r="F49" s="252" t="s">
        <v>524</v>
      </c>
      <c r="G49" s="286" t="s">
        <v>33</v>
      </c>
    </row>
    <row r="50" spans="1:7" s="236" customFormat="1" x14ac:dyDescent="0.2">
      <c r="A50" s="257">
        <v>38493</v>
      </c>
      <c r="B50" s="258">
        <v>0.375</v>
      </c>
      <c r="C50" s="258">
        <v>0.47916666666666669</v>
      </c>
      <c r="D50" s="258">
        <f t="shared" si="2"/>
        <v>0.10416666666666669</v>
      </c>
      <c r="E50" s="249" t="s">
        <v>904</v>
      </c>
      <c r="F50" s="252" t="s">
        <v>524</v>
      </c>
      <c r="G50" s="286" t="s">
        <v>68</v>
      </c>
    </row>
    <row r="51" spans="1:7" s="236" customFormat="1" x14ac:dyDescent="0.2">
      <c r="A51" s="257">
        <v>38496</v>
      </c>
      <c r="B51" s="258">
        <v>0.77083333333333337</v>
      </c>
      <c r="C51" s="258">
        <v>0.97916666666666663</v>
      </c>
      <c r="D51" s="258">
        <f t="shared" si="2"/>
        <v>0.20833333333333326</v>
      </c>
      <c r="E51" s="249" t="s">
        <v>904</v>
      </c>
      <c r="F51" s="252" t="s">
        <v>524</v>
      </c>
      <c r="G51" s="286" t="s">
        <v>70</v>
      </c>
    </row>
    <row r="52" spans="1:7" s="236" customFormat="1" x14ac:dyDescent="0.2">
      <c r="A52" s="257">
        <v>38506</v>
      </c>
      <c r="B52" s="258">
        <v>0.79166666666666663</v>
      </c>
      <c r="C52" s="258">
        <v>0.95833333333333337</v>
      </c>
      <c r="D52" s="258">
        <f t="shared" si="2"/>
        <v>0.16666666666666674</v>
      </c>
      <c r="E52" s="249" t="s">
        <v>904</v>
      </c>
      <c r="F52" s="252" t="s">
        <v>524</v>
      </c>
      <c r="G52" s="286" t="s">
        <v>33</v>
      </c>
    </row>
    <row r="53" spans="1:7" s="236" customFormat="1" x14ac:dyDescent="0.2">
      <c r="A53" s="257">
        <v>38507</v>
      </c>
      <c r="B53" s="258">
        <v>0.60416666666666663</v>
      </c>
      <c r="C53" s="258">
        <v>0.78125</v>
      </c>
      <c r="D53" s="258">
        <f t="shared" si="2"/>
        <v>0.17708333333333337</v>
      </c>
      <c r="E53" s="249" t="s">
        <v>904</v>
      </c>
      <c r="F53" s="252" t="s">
        <v>524</v>
      </c>
      <c r="G53" s="286" t="s">
        <v>61</v>
      </c>
    </row>
    <row r="54" spans="1:7" s="236" customFormat="1" x14ac:dyDescent="0.2">
      <c r="A54" s="257">
        <v>38523</v>
      </c>
      <c r="B54" s="258">
        <v>0.77083333333333337</v>
      </c>
      <c r="C54" s="258">
        <v>0.97916666666666663</v>
      </c>
      <c r="D54" s="258">
        <f t="shared" si="2"/>
        <v>0.20833333333333326</v>
      </c>
      <c r="E54" s="249" t="s">
        <v>904</v>
      </c>
      <c r="F54" s="252" t="s">
        <v>524</v>
      </c>
      <c r="G54" s="286" t="s">
        <v>41</v>
      </c>
    </row>
    <row r="55" spans="1:7" s="236" customFormat="1" x14ac:dyDescent="0.2">
      <c r="A55" s="257">
        <v>38526</v>
      </c>
      <c r="B55" s="258">
        <v>0.72916666666666663</v>
      </c>
      <c r="C55" s="258">
        <v>0.97916666666666663</v>
      </c>
      <c r="D55" s="258">
        <f t="shared" si="2"/>
        <v>0.25</v>
      </c>
      <c r="E55" s="249" t="s">
        <v>904</v>
      </c>
      <c r="F55" s="252" t="s">
        <v>524</v>
      </c>
      <c r="G55" s="286" t="s">
        <v>72</v>
      </c>
    </row>
    <row r="56" spans="1:7" s="236" customFormat="1" x14ac:dyDescent="0.2">
      <c r="A56" s="257">
        <v>38543</v>
      </c>
      <c r="B56" s="258">
        <v>0.60416666666666663</v>
      </c>
      <c r="C56" s="258">
        <v>0.78125</v>
      </c>
      <c r="D56" s="258">
        <f t="shared" si="2"/>
        <v>0.17708333333333337</v>
      </c>
      <c r="E56" s="249" t="s">
        <v>904</v>
      </c>
      <c r="F56" s="252" t="s">
        <v>524</v>
      </c>
      <c r="G56" s="286" t="s">
        <v>61</v>
      </c>
    </row>
    <row r="57" spans="1:7" s="236" customFormat="1" x14ac:dyDescent="0.2">
      <c r="A57" s="257">
        <v>38592</v>
      </c>
      <c r="B57" s="258">
        <v>0.60416666666666663</v>
      </c>
      <c r="C57" s="258">
        <v>0.78125</v>
      </c>
      <c r="D57" s="258">
        <f t="shared" si="2"/>
        <v>0.17708333333333337</v>
      </c>
      <c r="E57" s="249" t="s">
        <v>904</v>
      </c>
      <c r="F57" s="252" t="s">
        <v>524</v>
      </c>
      <c r="G57" s="286" t="s">
        <v>61</v>
      </c>
    </row>
    <row r="58" spans="1:7" s="236" customFormat="1" x14ac:dyDescent="0.2">
      <c r="A58" s="257">
        <v>38618</v>
      </c>
      <c r="B58" s="258">
        <v>0.375</v>
      </c>
      <c r="C58" s="258">
        <v>0.625</v>
      </c>
      <c r="D58" s="258">
        <f t="shared" si="2"/>
        <v>0.25</v>
      </c>
      <c r="E58" s="249" t="s">
        <v>904</v>
      </c>
      <c r="F58" s="252" t="s">
        <v>524</v>
      </c>
      <c r="G58" s="286" t="s">
        <v>74</v>
      </c>
    </row>
    <row r="59" spans="1:7" s="236" customFormat="1" x14ac:dyDescent="0.2">
      <c r="A59" s="257">
        <v>38618</v>
      </c>
      <c r="B59" s="258">
        <v>0.83333333333333337</v>
      </c>
      <c r="C59" s="258">
        <v>8.3333333333333329E-2</v>
      </c>
      <c r="D59" s="258">
        <f t="shared" si="2"/>
        <v>0.25</v>
      </c>
      <c r="E59" s="249" t="s">
        <v>904</v>
      </c>
      <c r="F59" s="252" t="s">
        <v>524</v>
      </c>
      <c r="G59" s="286" t="s">
        <v>80</v>
      </c>
    </row>
    <row r="60" spans="1:7" s="236" customFormat="1" x14ac:dyDescent="0.2">
      <c r="A60" s="257">
        <v>38619</v>
      </c>
      <c r="B60" s="258">
        <v>0.79166666666666663</v>
      </c>
      <c r="C60" s="258">
        <v>8.3333333333333329E-2</v>
      </c>
      <c r="D60" s="258">
        <f t="shared" si="2"/>
        <v>0.29166666666666674</v>
      </c>
      <c r="E60" s="249" t="s">
        <v>904</v>
      </c>
      <c r="F60" s="252" t="s">
        <v>524</v>
      </c>
      <c r="G60" s="286" t="s">
        <v>80</v>
      </c>
    </row>
    <row r="61" spans="1:7" s="236" customFormat="1" x14ac:dyDescent="0.2">
      <c r="A61" s="257">
        <v>38632</v>
      </c>
      <c r="B61" s="258">
        <v>0.79166666666666663</v>
      </c>
      <c r="C61" s="258">
        <v>0.95833333333333337</v>
      </c>
      <c r="D61" s="258">
        <f t="shared" si="2"/>
        <v>0.16666666666666674</v>
      </c>
      <c r="E61" s="249" t="s">
        <v>904</v>
      </c>
      <c r="F61" s="252" t="s">
        <v>524</v>
      </c>
      <c r="G61" s="286" t="s">
        <v>33</v>
      </c>
    </row>
    <row r="62" spans="1:7" s="236" customFormat="1" x14ac:dyDescent="0.2">
      <c r="A62" s="257">
        <v>38634</v>
      </c>
      <c r="B62" s="258">
        <v>0.83333333333333337</v>
      </c>
      <c r="C62" s="258">
        <v>0.91666666666666663</v>
      </c>
      <c r="D62" s="258">
        <f t="shared" si="2"/>
        <v>8.3333333333333259E-2</v>
      </c>
      <c r="E62" s="249" t="s">
        <v>904</v>
      </c>
      <c r="F62" s="252" t="s">
        <v>524</v>
      </c>
      <c r="G62" s="286" t="s">
        <v>79</v>
      </c>
    </row>
    <row r="63" spans="1:7" s="236" customFormat="1" x14ac:dyDescent="0.2">
      <c r="A63" s="257">
        <v>38660</v>
      </c>
      <c r="B63" s="258">
        <v>0.79166666666666663</v>
      </c>
      <c r="C63" s="258">
        <v>0.95833333333333337</v>
      </c>
      <c r="D63" s="258">
        <f t="shared" si="2"/>
        <v>0.16666666666666674</v>
      </c>
      <c r="E63" s="249" t="s">
        <v>904</v>
      </c>
      <c r="F63" s="252" t="s">
        <v>524</v>
      </c>
      <c r="G63" s="286" t="s">
        <v>33</v>
      </c>
    </row>
    <row r="64" spans="1:7" s="236" customFormat="1" x14ac:dyDescent="0.2">
      <c r="A64" s="257">
        <v>38694</v>
      </c>
      <c r="B64" s="258">
        <v>0.58333333333333337</v>
      </c>
      <c r="C64" s="258">
        <v>0.79166666666666663</v>
      </c>
      <c r="D64" s="258">
        <f t="shared" si="2"/>
        <v>0.20833333333333326</v>
      </c>
      <c r="E64" s="249" t="s">
        <v>904</v>
      </c>
      <c r="F64" s="252" t="s">
        <v>524</v>
      </c>
      <c r="G64" s="286" t="s">
        <v>81</v>
      </c>
    </row>
    <row r="65" spans="1:7" s="236" customFormat="1" x14ac:dyDescent="0.2">
      <c r="A65" s="257">
        <v>38702</v>
      </c>
      <c r="B65" s="258">
        <v>0.85416666666666663</v>
      </c>
      <c r="C65" s="258">
        <v>0.91666666666666663</v>
      </c>
      <c r="D65" s="258">
        <f t="shared" si="2"/>
        <v>6.25E-2</v>
      </c>
      <c r="E65" s="249" t="s">
        <v>904</v>
      </c>
      <c r="F65" s="252" t="s">
        <v>524</v>
      </c>
      <c r="G65" s="286" t="s">
        <v>83</v>
      </c>
    </row>
    <row r="66" spans="1:7" s="236" customFormat="1" x14ac:dyDescent="0.2">
      <c r="A66" s="257">
        <v>38801</v>
      </c>
      <c r="B66" s="258">
        <v>0.39583333333333331</v>
      </c>
      <c r="C66" s="258">
        <v>0.52083333333333337</v>
      </c>
      <c r="D66" s="258">
        <f t="shared" ref="D66:D104" si="3">MOD(C66-B66,1)</f>
        <v>0.12500000000000006</v>
      </c>
      <c r="E66" s="249" t="s">
        <v>904</v>
      </c>
      <c r="F66" s="252" t="s">
        <v>524</v>
      </c>
      <c r="G66" s="286" t="s">
        <v>938</v>
      </c>
    </row>
    <row r="67" spans="1:7" s="236" customFormat="1" x14ac:dyDescent="0.2">
      <c r="A67" s="257">
        <v>38802</v>
      </c>
      <c r="B67" s="258">
        <v>0.39583333333333331</v>
      </c>
      <c r="C67" s="258">
        <v>0.52083333333333337</v>
      </c>
      <c r="D67" s="258">
        <f t="shared" si="3"/>
        <v>0.12500000000000006</v>
      </c>
      <c r="E67" s="249" t="s">
        <v>904</v>
      </c>
      <c r="F67" s="252" t="s">
        <v>524</v>
      </c>
      <c r="G67" s="286" t="s">
        <v>938</v>
      </c>
    </row>
    <row r="68" spans="1:7" s="236" customFormat="1" x14ac:dyDescent="0.2">
      <c r="A68" s="257">
        <v>38808</v>
      </c>
      <c r="B68" s="258">
        <v>0.58333333333333337</v>
      </c>
      <c r="C68" s="258">
        <v>0.75</v>
      </c>
      <c r="D68" s="258">
        <f t="shared" si="3"/>
        <v>0.16666666666666663</v>
      </c>
      <c r="E68" s="249" t="s">
        <v>904</v>
      </c>
      <c r="F68" s="252" t="s">
        <v>524</v>
      </c>
      <c r="G68" s="286" t="s">
        <v>939</v>
      </c>
    </row>
    <row r="69" spans="1:7" s="236" customFormat="1" x14ac:dyDescent="0.2">
      <c r="A69" s="257">
        <v>38809</v>
      </c>
      <c r="B69" s="258">
        <v>0.58333333333333337</v>
      </c>
      <c r="C69" s="258">
        <v>0.75</v>
      </c>
      <c r="D69" s="258">
        <f t="shared" si="3"/>
        <v>0.16666666666666663</v>
      </c>
      <c r="E69" s="249" t="s">
        <v>904</v>
      </c>
      <c r="F69" s="252" t="s">
        <v>524</v>
      </c>
      <c r="G69" s="286" t="s">
        <v>939</v>
      </c>
    </row>
    <row r="70" spans="1:7" s="236" customFormat="1" x14ac:dyDescent="0.2">
      <c r="A70" s="257">
        <v>38814</v>
      </c>
      <c r="B70" s="258">
        <v>0.875</v>
      </c>
      <c r="C70" s="258">
        <v>0.95833333333333337</v>
      </c>
      <c r="D70" s="258">
        <f t="shared" si="3"/>
        <v>8.333333333333337E-2</v>
      </c>
      <c r="E70" s="249" t="s">
        <v>904</v>
      </c>
      <c r="F70" s="252" t="s">
        <v>524</v>
      </c>
      <c r="G70" s="286" t="s">
        <v>940</v>
      </c>
    </row>
    <row r="71" spans="1:7" s="236" customFormat="1" x14ac:dyDescent="0.2">
      <c r="A71" s="257">
        <v>38815</v>
      </c>
      <c r="B71" s="258">
        <v>0.5625</v>
      </c>
      <c r="C71" s="258">
        <v>0.75</v>
      </c>
      <c r="D71" s="258">
        <f t="shared" si="3"/>
        <v>0.1875</v>
      </c>
      <c r="E71" s="247" t="s">
        <v>94</v>
      </c>
      <c r="F71" s="252" t="s">
        <v>524</v>
      </c>
      <c r="G71" s="286" t="s">
        <v>1011</v>
      </c>
    </row>
    <row r="72" spans="1:7" s="236" customFormat="1" x14ac:dyDescent="0.2">
      <c r="A72" s="257">
        <v>38821</v>
      </c>
      <c r="B72" s="258">
        <v>0.85416666666666663</v>
      </c>
      <c r="C72" s="258">
        <v>0.91666666666666663</v>
      </c>
      <c r="D72" s="258">
        <f t="shared" si="3"/>
        <v>6.25E-2</v>
      </c>
      <c r="E72" s="247" t="s">
        <v>94</v>
      </c>
      <c r="F72" s="252" t="s">
        <v>524</v>
      </c>
      <c r="G72" s="286" t="s">
        <v>922</v>
      </c>
    </row>
    <row r="73" spans="1:7" s="236" customFormat="1" x14ac:dyDescent="0.2">
      <c r="A73" s="257">
        <v>38859</v>
      </c>
      <c r="B73" s="258">
        <v>0.83333333333333337</v>
      </c>
      <c r="C73" s="258">
        <v>6.25E-2</v>
      </c>
      <c r="D73" s="258">
        <f t="shared" si="3"/>
        <v>0.22916666666666663</v>
      </c>
      <c r="E73" s="249" t="s">
        <v>904</v>
      </c>
      <c r="F73" s="252" t="s">
        <v>524</v>
      </c>
      <c r="G73" s="286" t="s">
        <v>90</v>
      </c>
    </row>
    <row r="74" spans="1:7" s="236" customFormat="1" x14ac:dyDescent="0.2">
      <c r="A74" s="257">
        <v>38860</v>
      </c>
      <c r="B74" s="258">
        <v>0.54166666666666663</v>
      </c>
      <c r="C74" s="258">
        <v>0.83333333333333337</v>
      </c>
      <c r="D74" s="258">
        <f t="shared" si="3"/>
        <v>0.29166666666666674</v>
      </c>
      <c r="E74" s="249" t="s">
        <v>904</v>
      </c>
      <c r="F74" s="252" t="s">
        <v>524</v>
      </c>
      <c r="G74" s="286" t="s">
        <v>90</v>
      </c>
    </row>
    <row r="75" spans="1:7" s="236" customFormat="1" x14ac:dyDescent="0.2">
      <c r="A75" s="257">
        <v>38861</v>
      </c>
      <c r="B75" s="258">
        <v>0.77083333333333337</v>
      </c>
      <c r="C75" s="258">
        <v>4.1666666666666664E-2</v>
      </c>
      <c r="D75" s="258">
        <f t="shared" si="3"/>
        <v>0.27083333333333326</v>
      </c>
      <c r="E75" s="247" t="s">
        <v>94</v>
      </c>
      <c r="F75" s="252" t="s">
        <v>524</v>
      </c>
      <c r="G75" s="286" t="s">
        <v>883</v>
      </c>
    </row>
    <row r="76" spans="1:7" s="236" customFormat="1" x14ac:dyDescent="0.2">
      <c r="A76" s="257">
        <v>38862</v>
      </c>
      <c r="B76" s="258">
        <v>0.83333333333333337</v>
      </c>
      <c r="C76" s="258">
        <v>1.0416666666666666E-2</v>
      </c>
      <c r="D76" s="258">
        <f t="shared" si="3"/>
        <v>0.17708333333333326</v>
      </c>
      <c r="E76" s="249" t="s">
        <v>904</v>
      </c>
      <c r="F76" s="252" t="s">
        <v>524</v>
      </c>
      <c r="G76" s="286" t="s">
        <v>90</v>
      </c>
    </row>
    <row r="77" spans="1:7" s="236" customFormat="1" x14ac:dyDescent="0.2">
      <c r="A77" s="257">
        <v>38863</v>
      </c>
      <c r="B77" s="258">
        <v>0.54166666666666663</v>
      </c>
      <c r="C77" s="258">
        <v>0.84375</v>
      </c>
      <c r="D77" s="258">
        <f t="shared" si="3"/>
        <v>0.30208333333333337</v>
      </c>
      <c r="E77" s="249" t="s">
        <v>904</v>
      </c>
      <c r="F77" s="252" t="s">
        <v>524</v>
      </c>
      <c r="G77" s="286" t="s">
        <v>90</v>
      </c>
    </row>
    <row r="78" spans="1:7" s="236" customFormat="1" x14ac:dyDescent="0.2">
      <c r="A78" s="257">
        <v>38864</v>
      </c>
      <c r="B78" s="258">
        <v>0.33333333333333331</v>
      </c>
      <c r="C78" s="258">
        <v>0.58333333333333337</v>
      </c>
      <c r="D78" s="258">
        <f t="shared" si="3"/>
        <v>0.25000000000000006</v>
      </c>
      <c r="E78" s="249" t="s">
        <v>904</v>
      </c>
      <c r="F78" s="252" t="s">
        <v>524</v>
      </c>
      <c r="G78" s="286" t="s">
        <v>97</v>
      </c>
    </row>
    <row r="79" spans="1:7" s="236" customFormat="1" x14ac:dyDescent="0.2">
      <c r="A79" s="257">
        <v>38865</v>
      </c>
      <c r="B79" s="258">
        <v>0.54166666666666663</v>
      </c>
      <c r="C79" s="258">
        <v>0.84375</v>
      </c>
      <c r="D79" s="258">
        <f t="shared" si="3"/>
        <v>0.30208333333333337</v>
      </c>
      <c r="E79" s="249" t="s">
        <v>904</v>
      </c>
      <c r="F79" s="252" t="s">
        <v>524</v>
      </c>
      <c r="G79" s="286" t="s">
        <v>90</v>
      </c>
    </row>
    <row r="80" spans="1:7" s="236" customFormat="1" x14ac:dyDescent="0.2">
      <c r="A80" s="257">
        <v>38867</v>
      </c>
      <c r="B80" s="258">
        <v>0.83333333333333337</v>
      </c>
      <c r="C80" s="258">
        <v>4.1666666666666664E-2</v>
      </c>
      <c r="D80" s="258">
        <f t="shared" si="3"/>
        <v>0.20833333333333326</v>
      </c>
      <c r="E80" s="249" t="s">
        <v>904</v>
      </c>
      <c r="F80" s="252" t="s">
        <v>524</v>
      </c>
      <c r="G80" s="286" t="s">
        <v>90</v>
      </c>
    </row>
    <row r="81" spans="1:7" s="236" customFormat="1" x14ac:dyDescent="0.2">
      <c r="A81" s="257">
        <v>38869</v>
      </c>
      <c r="B81" s="258">
        <v>0.83333333333333337</v>
      </c>
      <c r="C81" s="258">
        <v>6.25E-2</v>
      </c>
      <c r="D81" s="258">
        <f t="shared" si="3"/>
        <v>0.22916666666666663</v>
      </c>
      <c r="E81" s="249" t="s">
        <v>904</v>
      </c>
      <c r="F81" s="252" t="s">
        <v>524</v>
      </c>
      <c r="G81" s="286" t="s">
        <v>90</v>
      </c>
    </row>
    <row r="82" spans="1:7" s="236" customFormat="1" x14ac:dyDescent="0.2">
      <c r="A82" s="257">
        <v>38870</v>
      </c>
      <c r="B82" s="258">
        <v>0.61458333333333337</v>
      </c>
      <c r="C82" s="258">
        <v>0.85416666666666663</v>
      </c>
      <c r="D82" s="258">
        <f t="shared" si="3"/>
        <v>0.23958333333333326</v>
      </c>
      <c r="E82" s="247" t="s">
        <v>94</v>
      </c>
      <c r="F82" s="252" t="s">
        <v>524</v>
      </c>
      <c r="G82" s="286" t="s">
        <v>100</v>
      </c>
    </row>
    <row r="83" spans="1:7" s="236" customFormat="1" x14ac:dyDescent="0.2">
      <c r="A83" s="257">
        <v>38871</v>
      </c>
      <c r="B83" s="258">
        <v>0.33333333333333331</v>
      </c>
      <c r="C83" s="258">
        <v>0.58333333333333337</v>
      </c>
      <c r="D83" s="258">
        <f t="shared" si="3"/>
        <v>0.25000000000000006</v>
      </c>
      <c r="E83" s="247"/>
      <c r="F83" s="252" t="s">
        <v>524</v>
      </c>
      <c r="G83" s="286" t="s">
        <v>97</v>
      </c>
    </row>
    <row r="84" spans="1:7" s="236" customFormat="1" x14ac:dyDescent="0.2">
      <c r="A84" s="257">
        <v>38872</v>
      </c>
      <c r="B84" s="258">
        <v>0.83333333333333337</v>
      </c>
      <c r="C84" s="258">
        <v>1.0416666666666666E-2</v>
      </c>
      <c r="D84" s="258">
        <f t="shared" si="3"/>
        <v>0.17708333333333326</v>
      </c>
      <c r="E84" s="247" t="s">
        <v>94</v>
      </c>
      <c r="F84" s="252" t="s">
        <v>524</v>
      </c>
      <c r="G84" s="286" t="s">
        <v>97</v>
      </c>
    </row>
    <row r="85" spans="1:7" s="236" customFormat="1" x14ac:dyDescent="0.2">
      <c r="A85" s="277">
        <v>38873</v>
      </c>
      <c r="B85" s="258">
        <v>0.6875</v>
      </c>
      <c r="C85" s="258">
        <v>0.83333333333333337</v>
      </c>
      <c r="D85" s="258">
        <f t="shared" si="3"/>
        <v>0.14583333333333337</v>
      </c>
      <c r="E85" s="247" t="s">
        <v>94</v>
      </c>
      <c r="F85" s="252" t="s">
        <v>524</v>
      </c>
      <c r="G85" s="287" t="s">
        <v>103</v>
      </c>
    </row>
    <row r="86" spans="1:7" s="236" customFormat="1" x14ac:dyDescent="0.2">
      <c r="A86" s="257">
        <v>38884</v>
      </c>
      <c r="B86" s="258">
        <v>0.33333333333333331</v>
      </c>
      <c r="C86" s="258">
        <v>0.64583333333333337</v>
      </c>
      <c r="D86" s="258">
        <f t="shared" si="3"/>
        <v>0.31250000000000006</v>
      </c>
      <c r="E86" s="247" t="s">
        <v>94</v>
      </c>
      <c r="F86" s="252" t="s">
        <v>524</v>
      </c>
      <c r="G86" s="286" t="s">
        <v>114</v>
      </c>
    </row>
    <row r="87" spans="1:7" s="236" customFormat="1" x14ac:dyDescent="0.2">
      <c r="A87" s="257">
        <v>38885</v>
      </c>
      <c r="B87" s="258">
        <v>0.33333333333333331</v>
      </c>
      <c r="C87" s="258">
        <v>0.5625</v>
      </c>
      <c r="D87" s="258">
        <f t="shared" si="3"/>
        <v>0.22916666666666669</v>
      </c>
      <c r="E87" s="247" t="s">
        <v>94</v>
      </c>
      <c r="F87" s="252" t="s">
        <v>524</v>
      </c>
      <c r="G87" s="286" t="s">
        <v>114</v>
      </c>
    </row>
    <row r="88" spans="1:7" s="236" customFormat="1" x14ac:dyDescent="0.2">
      <c r="A88" s="257">
        <v>38886</v>
      </c>
      <c r="B88" s="258">
        <v>0.33333333333333331</v>
      </c>
      <c r="C88" s="258">
        <v>0.64583333333333337</v>
      </c>
      <c r="D88" s="258">
        <f t="shared" si="3"/>
        <v>0.31250000000000006</v>
      </c>
      <c r="E88" s="247" t="s">
        <v>94</v>
      </c>
      <c r="F88" s="252" t="s">
        <v>524</v>
      </c>
      <c r="G88" s="286" t="s">
        <v>114</v>
      </c>
    </row>
    <row r="89" spans="1:7" s="236" customFormat="1" x14ac:dyDescent="0.2">
      <c r="A89" s="257">
        <v>38891</v>
      </c>
      <c r="B89" s="258">
        <v>0.72916666666666663</v>
      </c>
      <c r="C89" s="258">
        <v>2.0833333333333332E-2</v>
      </c>
      <c r="D89" s="258">
        <f t="shared" si="3"/>
        <v>0.29166666666666674</v>
      </c>
      <c r="E89" s="247" t="s">
        <v>94</v>
      </c>
      <c r="F89" s="252" t="s">
        <v>524</v>
      </c>
      <c r="G89" s="286" t="s">
        <v>72</v>
      </c>
    </row>
    <row r="90" spans="1:7" s="236" customFormat="1" x14ac:dyDescent="0.2">
      <c r="A90" s="257">
        <v>38892</v>
      </c>
      <c r="B90" s="258">
        <v>0.625</v>
      </c>
      <c r="C90" s="258">
        <v>0.75</v>
      </c>
      <c r="D90" s="258">
        <f t="shared" si="3"/>
        <v>0.125</v>
      </c>
      <c r="E90" s="247" t="s">
        <v>94</v>
      </c>
      <c r="F90" s="252" t="s">
        <v>524</v>
      </c>
      <c r="G90" s="286" t="s">
        <v>108</v>
      </c>
    </row>
    <row r="91" spans="1:7" s="236" customFormat="1" x14ac:dyDescent="0.2">
      <c r="A91" s="257">
        <v>38892</v>
      </c>
      <c r="B91" s="258">
        <v>0.75</v>
      </c>
      <c r="C91" s="258">
        <v>2.0833333333333332E-2</v>
      </c>
      <c r="D91" s="258">
        <f t="shared" si="3"/>
        <v>0.27083333333333337</v>
      </c>
      <c r="E91" s="247" t="s">
        <v>94</v>
      </c>
      <c r="F91" s="252" t="s">
        <v>524</v>
      </c>
      <c r="G91" s="286" t="s">
        <v>110</v>
      </c>
    </row>
    <row r="92" spans="1:7" s="236" customFormat="1" x14ac:dyDescent="0.2">
      <c r="A92" s="257">
        <v>38910</v>
      </c>
      <c r="B92" s="258">
        <v>0.77083333333333337</v>
      </c>
      <c r="C92" s="258">
        <v>2.0833333333333332E-2</v>
      </c>
      <c r="D92" s="258">
        <f t="shared" si="3"/>
        <v>0.25</v>
      </c>
      <c r="E92" s="247" t="s">
        <v>94</v>
      </c>
      <c r="F92" s="252" t="s">
        <v>884</v>
      </c>
      <c r="G92" s="286" t="s">
        <v>885</v>
      </c>
    </row>
    <row r="93" spans="1:7" s="236" customFormat="1" x14ac:dyDescent="0.2">
      <c r="A93" s="257">
        <v>38977</v>
      </c>
      <c r="B93" s="258">
        <v>0.47916666666666669</v>
      </c>
      <c r="C93" s="258">
        <v>4.1666666666666664E-2</v>
      </c>
      <c r="D93" s="258">
        <f t="shared" si="3"/>
        <v>0.5625</v>
      </c>
      <c r="E93" s="247" t="s">
        <v>94</v>
      </c>
      <c r="F93" s="252" t="s">
        <v>847</v>
      </c>
      <c r="G93" s="286" t="s">
        <v>886</v>
      </c>
    </row>
    <row r="94" spans="1:7" s="236" customFormat="1" x14ac:dyDescent="0.2">
      <c r="A94" s="257">
        <v>38983</v>
      </c>
      <c r="B94" s="258">
        <v>0.54166666666666663</v>
      </c>
      <c r="C94" s="258">
        <v>0.83333333333333337</v>
      </c>
      <c r="D94" s="258">
        <f t="shared" si="3"/>
        <v>0.29166666666666674</v>
      </c>
      <c r="E94" s="247" t="s">
        <v>94</v>
      </c>
      <c r="F94" s="252" t="s">
        <v>888</v>
      </c>
      <c r="G94" s="286" t="s">
        <v>887</v>
      </c>
    </row>
    <row r="95" spans="1:7" s="236" customFormat="1" x14ac:dyDescent="0.2">
      <c r="A95" s="257">
        <v>38990</v>
      </c>
      <c r="B95" s="258">
        <v>0.79166666666666663</v>
      </c>
      <c r="C95" s="258">
        <v>2.0833333333333332E-2</v>
      </c>
      <c r="D95" s="258">
        <f t="shared" si="3"/>
        <v>0.22916666666666674</v>
      </c>
      <c r="E95" s="247"/>
      <c r="F95" s="252" t="s">
        <v>524</v>
      </c>
      <c r="G95" s="286" t="s">
        <v>119</v>
      </c>
    </row>
    <row r="96" spans="1:7" s="236" customFormat="1" x14ac:dyDescent="0.2">
      <c r="A96" s="257">
        <v>38991</v>
      </c>
      <c r="B96" s="258">
        <v>0.79166666666666663</v>
      </c>
      <c r="C96" s="258">
        <v>2.0833333333333332E-2</v>
      </c>
      <c r="D96" s="258">
        <f t="shared" si="3"/>
        <v>0.22916666666666674</v>
      </c>
      <c r="E96" s="247"/>
      <c r="F96" s="252" t="s">
        <v>524</v>
      </c>
      <c r="G96" s="286" t="s">
        <v>119</v>
      </c>
    </row>
    <row r="97" spans="1:7" s="236" customFormat="1" x14ac:dyDescent="0.2">
      <c r="A97" s="257">
        <v>38993</v>
      </c>
      <c r="B97" s="258">
        <v>0.79166666666666663</v>
      </c>
      <c r="C97" s="258">
        <v>2.0833333333333332E-2</v>
      </c>
      <c r="D97" s="258">
        <f t="shared" si="3"/>
        <v>0.22916666666666674</v>
      </c>
      <c r="E97" s="247"/>
      <c r="F97" s="252" t="s">
        <v>524</v>
      </c>
      <c r="G97" s="286" t="s">
        <v>119</v>
      </c>
    </row>
    <row r="98" spans="1:7" s="236" customFormat="1" x14ac:dyDescent="0.2">
      <c r="A98" s="257">
        <v>38995</v>
      </c>
      <c r="B98" s="258">
        <v>0.79166666666666663</v>
      </c>
      <c r="C98" s="258">
        <v>2.0833333333333332E-2</v>
      </c>
      <c r="D98" s="258">
        <f t="shared" si="3"/>
        <v>0.22916666666666674</v>
      </c>
      <c r="E98" s="247"/>
      <c r="F98" s="252" t="s">
        <v>524</v>
      </c>
      <c r="G98" s="286" t="s">
        <v>119</v>
      </c>
    </row>
    <row r="99" spans="1:7" s="236" customFormat="1" x14ac:dyDescent="0.2">
      <c r="A99" s="257">
        <v>38997</v>
      </c>
      <c r="B99" s="258">
        <v>0.79166666666666663</v>
      </c>
      <c r="C99" s="258">
        <v>2.0833333333333332E-2</v>
      </c>
      <c r="D99" s="258">
        <f t="shared" si="3"/>
        <v>0.22916666666666674</v>
      </c>
      <c r="E99" s="247"/>
      <c r="F99" s="252" t="s">
        <v>524</v>
      </c>
      <c r="G99" s="286" t="s">
        <v>119</v>
      </c>
    </row>
    <row r="100" spans="1:7" s="236" customFormat="1" x14ac:dyDescent="0.2">
      <c r="A100" s="257">
        <v>39025</v>
      </c>
      <c r="B100" s="258">
        <v>0.29166666666666669</v>
      </c>
      <c r="C100" s="258">
        <v>0.625</v>
      </c>
      <c r="D100" s="258">
        <f t="shared" si="3"/>
        <v>0.33333333333333331</v>
      </c>
      <c r="E100" s="247" t="s">
        <v>94</v>
      </c>
      <c r="F100" s="252" t="s">
        <v>888</v>
      </c>
      <c r="G100" s="286" t="s">
        <v>889</v>
      </c>
    </row>
    <row r="101" spans="1:7" s="236" customFormat="1" x14ac:dyDescent="0.2">
      <c r="A101" s="257">
        <v>39026</v>
      </c>
      <c r="B101" s="258">
        <v>0.39583333333333331</v>
      </c>
      <c r="C101" s="258">
        <v>0.75</v>
      </c>
      <c r="D101" s="258">
        <f t="shared" si="3"/>
        <v>0.35416666666666669</v>
      </c>
      <c r="E101" s="247" t="s">
        <v>94</v>
      </c>
      <c r="F101" s="252" t="s">
        <v>888</v>
      </c>
      <c r="G101" s="286" t="s">
        <v>889</v>
      </c>
    </row>
    <row r="102" spans="1:7" s="236" customFormat="1" x14ac:dyDescent="0.2">
      <c r="A102" s="257">
        <v>39047</v>
      </c>
      <c r="B102" s="258">
        <v>0.60416666666666663</v>
      </c>
      <c r="C102" s="258">
        <v>0.77083333333333337</v>
      </c>
      <c r="D102" s="258">
        <f t="shared" si="3"/>
        <v>0.16666666666666674</v>
      </c>
      <c r="E102" s="247" t="s">
        <v>94</v>
      </c>
      <c r="F102" s="252" t="s">
        <v>524</v>
      </c>
      <c r="G102" s="286" t="s">
        <v>124</v>
      </c>
    </row>
    <row r="103" spans="1:7" s="236" customFormat="1" x14ac:dyDescent="0.2">
      <c r="A103" s="257">
        <v>39054</v>
      </c>
      <c r="B103" s="258">
        <v>0.60416666666666663</v>
      </c>
      <c r="C103" s="258">
        <v>0.77083333333333337</v>
      </c>
      <c r="D103" s="258">
        <f t="shared" si="3"/>
        <v>0.16666666666666674</v>
      </c>
      <c r="E103" s="247" t="s">
        <v>94</v>
      </c>
      <c r="F103" s="252" t="s">
        <v>524</v>
      </c>
      <c r="G103" s="286" t="s">
        <v>124</v>
      </c>
    </row>
    <row r="104" spans="1:7" s="236" customFormat="1" x14ac:dyDescent="0.2">
      <c r="A104" s="257">
        <v>39067</v>
      </c>
      <c r="B104" s="258">
        <v>0.39583333333333331</v>
      </c>
      <c r="C104" s="258">
        <v>0.45833333333333331</v>
      </c>
      <c r="D104" s="258">
        <f t="shared" si="3"/>
        <v>6.25E-2</v>
      </c>
      <c r="E104" s="247" t="s">
        <v>94</v>
      </c>
      <c r="F104" s="252" t="s">
        <v>524</v>
      </c>
      <c r="G104" s="286" t="s">
        <v>127</v>
      </c>
    </row>
    <row r="105" spans="1:7" s="236" customFormat="1" x14ac:dyDescent="0.2">
      <c r="A105" s="257">
        <v>39117</v>
      </c>
      <c r="B105" s="258">
        <v>0.60416666666666663</v>
      </c>
      <c r="C105" s="258">
        <v>0.72916666666666663</v>
      </c>
      <c r="D105" s="258">
        <f t="shared" ref="D105:D111" si="4">MOD(C105-B105,1)</f>
        <v>0.125</v>
      </c>
      <c r="E105" s="247" t="s">
        <v>94</v>
      </c>
      <c r="F105" s="252" t="s">
        <v>524</v>
      </c>
      <c r="G105" s="286" t="s">
        <v>130</v>
      </c>
    </row>
    <row r="106" spans="1:7" s="236" customFormat="1" x14ac:dyDescent="0.2">
      <c r="A106" s="257">
        <v>39152</v>
      </c>
      <c r="B106" s="258">
        <v>0.5625</v>
      </c>
      <c r="C106" s="258">
        <v>0.83333333333333337</v>
      </c>
      <c r="D106" s="258">
        <f t="shared" si="4"/>
        <v>0.27083333333333337</v>
      </c>
      <c r="E106" s="247" t="s">
        <v>94</v>
      </c>
      <c r="F106" s="252" t="s">
        <v>780</v>
      </c>
      <c r="G106" s="286" t="s">
        <v>798</v>
      </c>
    </row>
    <row r="107" spans="1:7" s="236" customFormat="1" x14ac:dyDescent="0.2">
      <c r="A107" s="257">
        <v>39165</v>
      </c>
      <c r="B107" s="258">
        <v>0.60416666666666663</v>
      </c>
      <c r="C107" s="258">
        <v>0.75</v>
      </c>
      <c r="D107" s="258">
        <f t="shared" si="4"/>
        <v>0.14583333333333337</v>
      </c>
      <c r="E107" s="247" t="s">
        <v>139</v>
      </c>
      <c r="F107" s="252" t="s">
        <v>524</v>
      </c>
      <c r="G107" s="286" t="s">
        <v>63</v>
      </c>
    </row>
    <row r="108" spans="1:7" s="236" customFormat="1" x14ac:dyDescent="0.2">
      <c r="A108" s="257">
        <v>39235</v>
      </c>
      <c r="B108" s="258">
        <v>0.65625</v>
      </c>
      <c r="C108" s="258">
        <v>0.79166666666666663</v>
      </c>
      <c r="D108" s="258">
        <f t="shared" si="4"/>
        <v>0.13541666666666663</v>
      </c>
      <c r="E108" s="247" t="s">
        <v>139</v>
      </c>
      <c r="F108" s="252" t="s">
        <v>524</v>
      </c>
      <c r="G108" s="286" t="s">
        <v>144</v>
      </c>
    </row>
    <row r="109" spans="1:7" s="236" customFormat="1" x14ac:dyDescent="0.2">
      <c r="A109" s="257">
        <v>39256</v>
      </c>
      <c r="B109" s="258">
        <v>0.6875</v>
      </c>
      <c r="C109" s="258">
        <v>0.97916666666666663</v>
      </c>
      <c r="D109" s="258">
        <f t="shared" si="4"/>
        <v>0.29166666666666663</v>
      </c>
      <c r="E109" s="247" t="s">
        <v>139</v>
      </c>
      <c r="F109" s="252" t="s">
        <v>524</v>
      </c>
      <c r="G109" s="286" t="s">
        <v>136</v>
      </c>
    </row>
    <row r="110" spans="1:7" s="236" customFormat="1" x14ac:dyDescent="0.2">
      <c r="A110" s="257">
        <v>39257</v>
      </c>
      <c r="B110" s="258">
        <v>0.77083333333333337</v>
      </c>
      <c r="C110" s="258">
        <v>2.0833333333333332E-2</v>
      </c>
      <c r="D110" s="258">
        <f t="shared" si="4"/>
        <v>0.25</v>
      </c>
      <c r="E110" s="247" t="s">
        <v>139</v>
      </c>
      <c r="F110" s="252" t="s">
        <v>524</v>
      </c>
      <c r="G110" s="286" t="s">
        <v>138</v>
      </c>
    </row>
    <row r="111" spans="1:7" s="236" customFormat="1" x14ac:dyDescent="0.2">
      <c r="A111" s="257">
        <v>39404</v>
      </c>
      <c r="B111" s="258">
        <v>0.58333333333333337</v>
      </c>
      <c r="C111" s="258">
        <v>0.8125</v>
      </c>
      <c r="D111" s="258">
        <f t="shared" si="4"/>
        <v>0.22916666666666663</v>
      </c>
      <c r="E111" s="247" t="s">
        <v>139</v>
      </c>
      <c r="F111" s="252" t="s">
        <v>524</v>
      </c>
      <c r="G111" s="286" t="s">
        <v>140</v>
      </c>
    </row>
    <row r="112" spans="1:7" s="236" customFormat="1" x14ac:dyDescent="0.2">
      <c r="A112" s="257">
        <v>39623</v>
      </c>
      <c r="B112" s="258">
        <v>0.77083333333333337</v>
      </c>
      <c r="C112" s="258">
        <v>6.25E-2</v>
      </c>
      <c r="D112" s="258">
        <f t="shared" ref="D112:D118" si="5">MOD(C112-B112,1)</f>
        <v>0.29166666666666663</v>
      </c>
      <c r="E112" s="247" t="s">
        <v>139</v>
      </c>
      <c r="F112" s="252" t="s">
        <v>524</v>
      </c>
      <c r="G112" s="286" t="s">
        <v>142</v>
      </c>
    </row>
    <row r="113" spans="1:7" s="236" customFormat="1" x14ac:dyDescent="0.2">
      <c r="A113" s="257">
        <v>39775</v>
      </c>
      <c r="B113" s="258">
        <v>0.60416666666666663</v>
      </c>
      <c r="C113" s="258">
        <v>0.83333333333333337</v>
      </c>
      <c r="D113" s="258">
        <f t="shared" si="5"/>
        <v>0.22916666666666674</v>
      </c>
      <c r="E113" s="247" t="s">
        <v>139</v>
      </c>
      <c r="F113" s="252" t="s">
        <v>524</v>
      </c>
      <c r="G113" s="286" t="s">
        <v>145</v>
      </c>
    </row>
    <row r="114" spans="1:7" s="236" customFormat="1" x14ac:dyDescent="0.2">
      <c r="A114" s="257">
        <v>39782</v>
      </c>
      <c r="B114" s="258">
        <v>0.35416666666666669</v>
      </c>
      <c r="C114" s="258">
        <v>0.52083333333333337</v>
      </c>
      <c r="D114" s="258">
        <f t="shared" si="5"/>
        <v>0.16666666666666669</v>
      </c>
      <c r="E114" s="247" t="s">
        <v>139</v>
      </c>
      <c r="F114" s="252" t="s">
        <v>524</v>
      </c>
      <c r="G114" s="286" t="s">
        <v>147</v>
      </c>
    </row>
    <row r="115" spans="1:7" s="236" customFormat="1" x14ac:dyDescent="0.2">
      <c r="A115" s="257">
        <v>39879</v>
      </c>
      <c r="B115" s="258">
        <v>0.75</v>
      </c>
      <c r="C115" s="258">
        <v>0.16666666666666666</v>
      </c>
      <c r="D115" s="258">
        <f t="shared" si="5"/>
        <v>0.41666666666666663</v>
      </c>
      <c r="E115" s="247" t="s">
        <v>139</v>
      </c>
      <c r="F115" s="252" t="s">
        <v>855</v>
      </c>
      <c r="G115" s="286" t="s">
        <v>878</v>
      </c>
    </row>
    <row r="116" spans="1:7" s="236" customFormat="1" x14ac:dyDescent="0.2">
      <c r="A116" s="257">
        <v>40111</v>
      </c>
      <c r="B116" s="258">
        <v>0.33333333333333331</v>
      </c>
      <c r="C116" s="258">
        <v>0.55208333333333337</v>
      </c>
      <c r="D116" s="258">
        <f t="shared" si="5"/>
        <v>0.21875000000000006</v>
      </c>
      <c r="E116" s="247" t="s">
        <v>139</v>
      </c>
      <c r="F116" s="252" t="s">
        <v>881</v>
      </c>
      <c r="G116" s="286" t="s">
        <v>882</v>
      </c>
    </row>
    <row r="117" spans="1:7" s="236" customFormat="1" x14ac:dyDescent="0.2">
      <c r="A117" s="257">
        <v>40118</v>
      </c>
      <c r="B117" s="258">
        <v>0.33333333333333331</v>
      </c>
      <c r="C117" s="258">
        <v>0.57638888888888895</v>
      </c>
      <c r="D117" s="258">
        <f t="shared" si="5"/>
        <v>0.24305555555555564</v>
      </c>
      <c r="E117" s="247" t="s">
        <v>139</v>
      </c>
      <c r="F117" s="252" t="s">
        <v>881</v>
      </c>
      <c r="G117" s="286" t="s">
        <v>882</v>
      </c>
    </row>
    <row r="118" spans="1:7" s="236" customFormat="1" x14ac:dyDescent="0.2">
      <c r="A118" s="257">
        <v>40119</v>
      </c>
      <c r="B118" s="258">
        <v>0.58333333333333337</v>
      </c>
      <c r="C118" s="258">
        <v>0.76041666666666663</v>
      </c>
      <c r="D118" s="258">
        <f t="shared" si="5"/>
        <v>0.17708333333333326</v>
      </c>
      <c r="E118" s="247" t="s">
        <v>139</v>
      </c>
      <c r="F118" s="252" t="s">
        <v>881</v>
      </c>
      <c r="G118" s="286" t="s">
        <v>882</v>
      </c>
    </row>
    <row r="119" spans="1:7" s="236" customFormat="1" x14ac:dyDescent="0.2">
      <c r="A119" s="257">
        <v>40259</v>
      </c>
      <c r="B119" s="258">
        <v>0.27083333333333331</v>
      </c>
      <c r="C119" s="258">
        <v>0.5625</v>
      </c>
      <c r="D119" s="258">
        <f t="shared" ref="D119:D165" si="6">MOD(C119-B119,1)</f>
        <v>0.29166666666666669</v>
      </c>
      <c r="E119" s="247" t="s">
        <v>139</v>
      </c>
      <c r="F119" s="252" t="s">
        <v>524</v>
      </c>
      <c r="G119" s="286" t="s">
        <v>157</v>
      </c>
    </row>
    <row r="120" spans="1:7" s="236" customFormat="1" x14ac:dyDescent="0.2">
      <c r="A120" s="257">
        <v>40265</v>
      </c>
      <c r="B120" s="258">
        <v>0.375</v>
      </c>
      <c r="C120" s="258">
        <v>0.85416666666666663</v>
      </c>
      <c r="D120" s="258">
        <f t="shared" si="6"/>
        <v>0.47916666666666663</v>
      </c>
      <c r="E120" s="247" t="s">
        <v>139</v>
      </c>
      <c r="F120" s="252" t="s">
        <v>524</v>
      </c>
      <c r="G120" s="286" t="s">
        <v>157</v>
      </c>
    </row>
    <row r="121" spans="1:7" s="236" customFormat="1" x14ac:dyDescent="0.2">
      <c r="A121" s="257">
        <v>40282</v>
      </c>
      <c r="B121" s="258">
        <v>0.5</v>
      </c>
      <c r="C121" s="258">
        <v>0.77083333333333337</v>
      </c>
      <c r="D121" s="258">
        <f t="shared" si="6"/>
        <v>0.27083333333333337</v>
      </c>
      <c r="E121" s="247" t="s">
        <v>139</v>
      </c>
      <c r="F121" s="252" t="s">
        <v>808</v>
      </c>
      <c r="G121" s="286" t="s">
        <v>841</v>
      </c>
    </row>
    <row r="122" spans="1:7" s="236" customFormat="1" x14ac:dyDescent="0.2">
      <c r="A122" s="257">
        <v>40283</v>
      </c>
      <c r="B122" s="258">
        <v>0.5</v>
      </c>
      <c r="C122" s="258">
        <v>0.77083333333333337</v>
      </c>
      <c r="D122" s="258">
        <f t="shared" si="6"/>
        <v>0.27083333333333337</v>
      </c>
      <c r="E122" s="247" t="s">
        <v>139</v>
      </c>
      <c r="F122" s="252" t="s">
        <v>808</v>
      </c>
      <c r="G122" s="286" t="s">
        <v>841</v>
      </c>
    </row>
    <row r="123" spans="1:7" s="236" customFormat="1" x14ac:dyDescent="0.2">
      <c r="A123" s="257">
        <v>40284</v>
      </c>
      <c r="B123" s="258">
        <v>0.5</v>
      </c>
      <c r="C123" s="258">
        <v>0.77083333333333337</v>
      </c>
      <c r="D123" s="258">
        <f t="shared" si="6"/>
        <v>0.27083333333333337</v>
      </c>
      <c r="E123" s="247" t="s">
        <v>139</v>
      </c>
      <c r="F123" s="252" t="s">
        <v>808</v>
      </c>
      <c r="G123" s="286" t="s">
        <v>841</v>
      </c>
    </row>
    <row r="124" spans="1:7" s="236" customFormat="1" x14ac:dyDescent="0.2">
      <c r="A124" s="257">
        <v>40286</v>
      </c>
      <c r="B124" s="258">
        <v>0.375</v>
      </c>
      <c r="C124" s="258">
        <v>0.625</v>
      </c>
      <c r="D124" s="258">
        <f t="shared" si="6"/>
        <v>0.25</v>
      </c>
      <c r="E124" s="247" t="s">
        <v>139</v>
      </c>
      <c r="F124" s="252" t="s">
        <v>808</v>
      </c>
      <c r="G124" s="286" t="s">
        <v>842</v>
      </c>
    </row>
    <row r="125" spans="1:7" s="236" customFormat="1" x14ac:dyDescent="0.2">
      <c r="A125" s="257">
        <v>40287</v>
      </c>
      <c r="B125" s="258">
        <v>0.5</v>
      </c>
      <c r="C125" s="258">
        <v>0.77083333333333337</v>
      </c>
      <c r="D125" s="258">
        <f t="shared" si="6"/>
        <v>0.27083333333333337</v>
      </c>
      <c r="E125" s="247" t="s">
        <v>139</v>
      </c>
      <c r="F125" s="252" t="s">
        <v>808</v>
      </c>
      <c r="G125" s="286" t="s">
        <v>841</v>
      </c>
    </row>
    <row r="126" spans="1:7" s="236" customFormat="1" x14ac:dyDescent="0.2">
      <c r="A126" s="257">
        <v>40289</v>
      </c>
      <c r="B126" s="258">
        <v>0.5</v>
      </c>
      <c r="C126" s="258">
        <v>0.77083333333333337</v>
      </c>
      <c r="D126" s="258">
        <f t="shared" si="6"/>
        <v>0.27083333333333337</v>
      </c>
      <c r="E126" s="247" t="s">
        <v>139</v>
      </c>
      <c r="F126" s="252" t="s">
        <v>808</v>
      </c>
      <c r="G126" s="286" t="s">
        <v>841</v>
      </c>
    </row>
    <row r="127" spans="1:7" s="236" customFormat="1" x14ac:dyDescent="0.2">
      <c r="A127" s="257">
        <v>40291</v>
      </c>
      <c r="B127" s="258">
        <v>0.5</v>
      </c>
      <c r="C127" s="258">
        <v>0.77083333333333337</v>
      </c>
      <c r="D127" s="258">
        <f t="shared" si="6"/>
        <v>0.27083333333333337</v>
      </c>
      <c r="E127" s="247" t="s">
        <v>139</v>
      </c>
      <c r="F127" s="252" t="s">
        <v>808</v>
      </c>
      <c r="G127" s="286" t="s">
        <v>841</v>
      </c>
    </row>
    <row r="128" spans="1:7" s="236" customFormat="1" x14ac:dyDescent="0.2">
      <c r="A128" s="257">
        <v>40292</v>
      </c>
      <c r="B128" s="258">
        <v>0.41666666666666669</v>
      </c>
      <c r="C128" s="258">
        <v>0.83333333333333337</v>
      </c>
      <c r="D128" s="258">
        <f t="shared" si="6"/>
        <v>0.41666666666666669</v>
      </c>
      <c r="E128" s="247" t="s">
        <v>139</v>
      </c>
      <c r="F128" s="252" t="s">
        <v>780</v>
      </c>
      <c r="G128" s="286" t="s">
        <v>843</v>
      </c>
    </row>
    <row r="129" spans="1:7" s="236" customFormat="1" x14ac:dyDescent="0.2">
      <c r="A129" s="257">
        <v>40296</v>
      </c>
      <c r="B129" s="258">
        <v>0.5</v>
      </c>
      <c r="C129" s="258">
        <v>0.77083333333333337</v>
      </c>
      <c r="D129" s="258">
        <f t="shared" si="6"/>
        <v>0.27083333333333337</v>
      </c>
      <c r="E129" s="247" t="s">
        <v>139</v>
      </c>
      <c r="F129" s="252" t="s">
        <v>808</v>
      </c>
      <c r="G129" s="286" t="s">
        <v>841</v>
      </c>
    </row>
    <row r="130" spans="1:7" s="236" customFormat="1" x14ac:dyDescent="0.2">
      <c r="A130" s="257">
        <v>40299</v>
      </c>
      <c r="B130" s="258">
        <v>0.29166666666666669</v>
      </c>
      <c r="C130" s="258">
        <v>0.66666666666666663</v>
      </c>
      <c r="D130" s="258">
        <f t="shared" si="6"/>
        <v>0.37499999999999994</v>
      </c>
      <c r="E130" s="247" t="s">
        <v>139</v>
      </c>
      <c r="F130" s="252" t="s">
        <v>845</v>
      </c>
      <c r="G130" s="286" t="s">
        <v>844</v>
      </c>
    </row>
    <row r="131" spans="1:7" s="236" customFormat="1" x14ac:dyDescent="0.2">
      <c r="A131" s="257">
        <v>40300</v>
      </c>
      <c r="B131" s="258">
        <v>0.25</v>
      </c>
      <c r="C131" s="258">
        <v>0.83333333333333337</v>
      </c>
      <c r="D131" s="258">
        <f t="shared" si="6"/>
        <v>0.58333333333333337</v>
      </c>
      <c r="E131" s="247" t="s">
        <v>139</v>
      </c>
      <c r="F131" s="252" t="s">
        <v>846</v>
      </c>
      <c r="G131" s="286" t="s">
        <v>849</v>
      </c>
    </row>
    <row r="132" spans="1:7" s="236" customFormat="1" x14ac:dyDescent="0.2">
      <c r="A132" s="257">
        <v>40307</v>
      </c>
      <c r="B132" s="258">
        <v>0.72916666666666663</v>
      </c>
      <c r="C132" s="258">
        <v>0.97916666666666663</v>
      </c>
      <c r="D132" s="258">
        <f t="shared" si="6"/>
        <v>0.25</v>
      </c>
      <c r="E132" s="247" t="s">
        <v>139</v>
      </c>
      <c r="F132" s="252" t="s">
        <v>847</v>
      </c>
      <c r="G132" s="286" t="s">
        <v>848</v>
      </c>
    </row>
    <row r="133" spans="1:7" s="236" customFormat="1" x14ac:dyDescent="0.2">
      <c r="A133" s="257">
        <v>40308</v>
      </c>
      <c r="B133" s="258">
        <v>0.5</v>
      </c>
      <c r="C133" s="258">
        <v>0.77083333333333337</v>
      </c>
      <c r="D133" s="258">
        <f t="shared" si="6"/>
        <v>0.27083333333333337</v>
      </c>
      <c r="E133" s="247" t="s">
        <v>139</v>
      </c>
      <c r="F133" s="252" t="s">
        <v>808</v>
      </c>
      <c r="G133" s="286" t="s">
        <v>841</v>
      </c>
    </row>
    <row r="134" spans="1:7" s="236" customFormat="1" x14ac:dyDescent="0.2">
      <c r="A134" s="257">
        <v>40315</v>
      </c>
      <c r="B134" s="258">
        <v>0.5</v>
      </c>
      <c r="C134" s="258">
        <v>0.77083333333333337</v>
      </c>
      <c r="D134" s="258">
        <f t="shared" si="6"/>
        <v>0.27083333333333337</v>
      </c>
      <c r="E134" s="247" t="s">
        <v>139</v>
      </c>
      <c r="F134" s="252" t="s">
        <v>808</v>
      </c>
      <c r="G134" s="286" t="s">
        <v>841</v>
      </c>
    </row>
    <row r="135" spans="1:7" s="236" customFormat="1" x14ac:dyDescent="0.2">
      <c r="A135" s="257">
        <v>40316</v>
      </c>
      <c r="B135" s="258">
        <v>0.5</v>
      </c>
      <c r="C135" s="258">
        <v>0.77083333333333337</v>
      </c>
      <c r="D135" s="258">
        <f t="shared" si="6"/>
        <v>0.27083333333333337</v>
      </c>
      <c r="E135" s="247" t="s">
        <v>139</v>
      </c>
      <c r="F135" s="252" t="s">
        <v>808</v>
      </c>
      <c r="G135" s="286" t="s">
        <v>841</v>
      </c>
    </row>
    <row r="136" spans="1:7" s="236" customFormat="1" x14ac:dyDescent="0.2">
      <c r="A136" s="257">
        <v>40321</v>
      </c>
      <c r="B136" s="258">
        <v>0.5</v>
      </c>
      <c r="C136" s="258">
        <v>0.64583333333333337</v>
      </c>
      <c r="D136" s="258">
        <f t="shared" si="6"/>
        <v>0.14583333333333337</v>
      </c>
      <c r="E136" s="247" t="s">
        <v>139</v>
      </c>
      <c r="F136" s="252" t="s">
        <v>808</v>
      </c>
      <c r="G136" s="286" t="s">
        <v>841</v>
      </c>
    </row>
    <row r="137" spans="1:7" s="236" customFormat="1" x14ac:dyDescent="0.2">
      <c r="A137" s="257">
        <v>40321</v>
      </c>
      <c r="B137" s="258">
        <v>0.64583333333333337</v>
      </c>
      <c r="C137" s="258">
        <v>0.85416666666666663</v>
      </c>
      <c r="D137" s="258">
        <f t="shared" si="6"/>
        <v>0.20833333333333326</v>
      </c>
      <c r="E137" s="247" t="s">
        <v>139</v>
      </c>
      <c r="F137" s="252" t="s">
        <v>851</v>
      </c>
      <c r="G137" s="286" t="s">
        <v>850</v>
      </c>
    </row>
    <row r="138" spans="1:7" s="236" customFormat="1" x14ac:dyDescent="0.2">
      <c r="A138" s="257">
        <v>40322</v>
      </c>
      <c r="B138" s="258">
        <v>0.75</v>
      </c>
      <c r="C138" s="258">
        <v>0</v>
      </c>
      <c r="D138" s="258">
        <f t="shared" si="6"/>
        <v>0.25</v>
      </c>
      <c r="E138" s="247" t="s">
        <v>139</v>
      </c>
      <c r="F138" s="252" t="s">
        <v>808</v>
      </c>
      <c r="G138" s="286" t="s">
        <v>805</v>
      </c>
    </row>
    <row r="139" spans="1:7" s="236" customFormat="1" x14ac:dyDescent="0.2">
      <c r="A139" s="257">
        <v>40332</v>
      </c>
      <c r="B139" s="258">
        <v>0.33333333333333331</v>
      </c>
      <c r="C139" s="258">
        <v>0.5</v>
      </c>
      <c r="D139" s="258">
        <f t="shared" si="6"/>
        <v>0.16666666666666669</v>
      </c>
      <c r="E139" s="247" t="s">
        <v>139</v>
      </c>
      <c r="F139" s="252" t="s">
        <v>807</v>
      </c>
      <c r="G139" s="286" t="s">
        <v>852</v>
      </c>
    </row>
    <row r="140" spans="1:7" s="236" customFormat="1" x14ac:dyDescent="0.2">
      <c r="A140" s="257">
        <v>40334</v>
      </c>
      <c r="B140" s="258">
        <v>0.33333333333333331</v>
      </c>
      <c r="C140" s="258">
        <v>0.5</v>
      </c>
      <c r="D140" s="258">
        <f t="shared" si="6"/>
        <v>0.16666666666666669</v>
      </c>
      <c r="E140" s="247" t="s">
        <v>139</v>
      </c>
      <c r="F140" s="252" t="s">
        <v>807</v>
      </c>
      <c r="G140" s="286" t="s">
        <v>853</v>
      </c>
    </row>
    <row r="141" spans="1:7" s="236" customFormat="1" x14ac:dyDescent="0.2">
      <c r="A141" s="257">
        <v>40335</v>
      </c>
      <c r="B141" s="258">
        <v>0.3125</v>
      </c>
      <c r="C141" s="258">
        <v>0.54166666666666663</v>
      </c>
      <c r="D141" s="258">
        <f t="shared" si="6"/>
        <v>0.22916666666666663</v>
      </c>
      <c r="E141" s="247" t="s">
        <v>139</v>
      </c>
      <c r="F141" s="252" t="s">
        <v>854</v>
      </c>
      <c r="G141" s="286" t="s">
        <v>860</v>
      </c>
    </row>
    <row r="142" spans="1:7" s="236" customFormat="1" x14ac:dyDescent="0.2">
      <c r="A142" s="257">
        <v>40348</v>
      </c>
      <c r="B142" s="258">
        <v>0.75</v>
      </c>
      <c r="C142" s="258">
        <v>0.10416666666666667</v>
      </c>
      <c r="D142" s="258">
        <f t="shared" si="6"/>
        <v>0.35416666666666663</v>
      </c>
      <c r="E142" s="247" t="s">
        <v>139</v>
      </c>
      <c r="F142" s="252" t="s">
        <v>855</v>
      </c>
      <c r="G142" s="286" t="s">
        <v>861</v>
      </c>
    </row>
    <row r="143" spans="1:7" s="236" customFormat="1" x14ac:dyDescent="0.2">
      <c r="A143" s="257">
        <v>40349</v>
      </c>
      <c r="B143" s="258">
        <v>0.77083333333333337</v>
      </c>
      <c r="C143" s="258">
        <v>0.97916666666666663</v>
      </c>
      <c r="D143" s="258">
        <f t="shared" si="6"/>
        <v>0.20833333333333326</v>
      </c>
      <c r="E143" s="247" t="s">
        <v>139</v>
      </c>
      <c r="F143" s="252" t="s">
        <v>814</v>
      </c>
      <c r="G143" s="286" t="s">
        <v>593</v>
      </c>
    </row>
    <row r="144" spans="1:7" s="236" customFormat="1" x14ac:dyDescent="0.2">
      <c r="A144" s="257">
        <v>40352</v>
      </c>
      <c r="B144" s="258">
        <v>0.77083333333333337</v>
      </c>
      <c r="C144" s="258">
        <v>0.97916666666666663</v>
      </c>
      <c r="D144" s="258">
        <f t="shared" si="6"/>
        <v>0.20833333333333326</v>
      </c>
      <c r="E144" s="247" t="s">
        <v>139</v>
      </c>
      <c r="F144" s="252" t="s">
        <v>858</v>
      </c>
      <c r="G144" s="286" t="s">
        <v>862</v>
      </c>
    </row>
    <row r="145" spans="1:7" s="236" customFormat="1" x14ac:dyDescent="0.2">
      <c r="A145" s="257">
        <v>40353</v>
      </c>
      <c r="B145" s="258">
        <v>0.77083333333333337</v>
      </c>
      <c r="C145" s="258">
        <v>4.1666666666666664E-2</v>
      </c>
      <c r="D145" s="258">
        <f t="shared" si="6"/>
        <v>0.27083333333333326</v>
      </c>
      <c r="E145" s="247" t="s">
        <v>139</v>
      </c>
      <c r="F145" s="252" t="s">
        <v>858</v>
      </c>
      <c r="G145" s="286" t="s">
        <v>863</v>
      </c>
    </row>
    <row r="146" spans="1:7" s="236" customFormat="1" x14ac:dyDescent="0.2">
      <c r="A146" s="257">
        <v>40363</v>
      </c>
      <c r="B146" s="258">
        <v>0.35416666666666669</v>
      </c>
      <c r="C146" s="258">
        <v>0.89583333333333337</v>
      </c>
      <c r="D146" s="258">
        <f t="shared" si="6"/>
        <v>0.54166666666666674</v>
      </c>
      <c r="E146" s="247" t="s">
        <v>139</v>
      </c>
      <c r="F146" s="252" t="s">
        <v>859</v>
      </c>
      <c r="G146" s="286" t="s">
        <v>864</v>
      </c>
    </row>
    <row r="147" spans="1:7" s="236" customFormat="1" x14ac:dyDescent="0.2">
      <c r="A147" s="257">
        <v>40384</v>
      </c>
      <c r="B147" s="258">
        <v>0.35416666666666669</v>
      </c>
      <c r="C147" s="258">
        <v>0.85416666666666663</v>
      </c>
      <c r="D147" s="258">
        <f t="shared" si="6"/>
        <v>0.49999999999999994</v>
      </c>
      <c r="E147" s="247" t="s">
        <v>139</v>
      </c>
      <c r="F147" s="252" t="s">
        <v>859</v>
      </c>
      <c r="G147" s="286" t="s">
        <v>864</v>
      </c>
    </row>
    <row r="148" spans="1:7" s="236" customFormat="1" x14ac:dyDescent="0.2">
      <c r="A148" s="257">
        <v>40390</v>
      </c>
      <c r="B148" s="258">
        <v>0.5625</v>
      </c>
      <c r="C148" s="258">
        <v>0.79166666666666663</v>
      </c>
      <c r="D148" s="258">
        <f t="shared" si="6"/>
        <v>0.22916666666666663</v>
      </c>
      <c r="E148" s="247"/>
      <c r="F148" s="252" t="s">
        <v>856</v>
      </c>
      <c r="G148" s="286" t="s">
        <v>865</v>
      </c>
    </row>
    <row r="149" spans="1:7" s="236" customFormat="1" x14ac:dyDescent="0.2">
      <c r="A149" s="257">
        <v>40394</v>
      </c>
      <c r="B149" s="258">
        <v>0.33333333333333331</v>
      </c>
      <c r="C149" s="258">
        <v>0.70833333333333337</v>
      </c>
      <c r="D149" s="258">
        <f t="shared" si="6"/>
        <v>0.37500000000000006</v>
      </c>
      <c r="E149" s="247" t="s">
        <v>139</v>
      </c>
      <c r="F149" s="252" t="s">
        <v>857</v>
      </c>
      <c r="G149" s="286" t="s">
        <v>866</v>
      </c>
    </row>
    <row r="150" spans="1:7" s="236" customFormat="1" x14ac:dyDescent="0.2">
      <c r="A150" s="257">
        <v>40400</v>
      </c>
      <c r="B150" s="258">
        <v>0.8125</v>
      </c>
      <c r="C150" s="258">
        <v>4.1666666666666664E-2</v>
      </c>
      <c r="D150" s="258">
        <f t="shared" si="6"/>
        <v>0.22916666666666663</v>
      </c>
      <c r="E150" s="247" t="s">
        <v>139</v>
      </c>
      <c r="F150" s="252" t="s">
        <v>855</v>
      </c>
      <c r="G150" s="286" t="s">
        <v>867</v>
      </c>
    </row>
    <row r="151" spans="1:7" s="236" customFormat="1" x14ac:dyDescent="0.2">
      <c r="A151" s="257">
        <v>40404</v>
      </c>
      <c r="B151" s="258">
        <v>0.35416666666666669</v>
      </c>
      <c r="C151" s="258">
        <v>0.61458333333333337</v>
      </c>
      <c r="D151" s="258">
        <f t="shared" si="6"/>
        <v>0.26041666666666669</v>
      </c>
      <c r="E151" s="247" t="s">
        <v>139</v>
      </c>
      <c r="F151" s="252" t="s">
        <v>859</v>
      </c>
      <c r="G151" s="286" t="s">
        <v>864</v>
      </c>
    </row>
    <row r="152" spans="1:7" s="236" customFormat="1" x14ac:dyDescent="0.2">
      <c r="A152" s="257">
        <v>40419</v>
      </c>
      <c r="B152" s="258">
        <v>0.35416666666666669</v>
      </c>
      <c r="C152" s="258">
        <v>0.89583333333333337</v>
      </c>
      <c r="D152" s="258">
        <f t="shared" si="6"/>
        <v>0.54166666666666674</v>
      </c>
      <c r="E152" s="247" t="s">
        <v>139</v>
      </c>
      <c r="F152" s="252" t="s">
        <v>859</v>
      </c>
      <c r="G152" s="286" t="s">
        <v>864</v>
      </c>
    </row>
    <row r="153" spans="1:7" s="236" customFormat="1" x14ac:dyDescent="0.2">
      <c r="A153" s="257">
        <v>40425</v>
      </c>
      <c r="B153" s="258">
        <v>0.35416666666666669</v>
      </c>
      <c r="C153" s="258">
        <v>0.85416666666666663</v>
      </c>
      <c r="D153" s="258">
        <f t="shared" si="6"/>
        <v>0.49999999999999994</v>
      </c>
      <c r="E153" s="247" t="s">
        <v>139</v>
      </c>
      <c r="F153" s="252" t="s">
        <v>859</v>
      </c>
      <c r="G153" s="286" t="s">
        <v>864</v>
      </c>
    </row>
    <row r="154" spans="1:7" s="236" customFormat="1" x14ac:dyDescent="0.2">
      <c r="A154" s="257">
        <v>40431</v>
      </c>
      <c r="B154" s="258">
        <v>0.33333333333333331</v>
      </c>
      <c r="C154" s="258">
        <v>0.58333333333333337</v>
      </c>
      <c r="D154" s="258">
        <f t="shared" si="6"/>
        <v>0.25000000000000006</v>
      </c>
      <c r="E154" s="247"/>
      <c r="F154" s="252" t="s">
        <v>868</v>
      </c>
      <c r="G154" s="286" t="s">
        <v>871</v>
      </c>
    </row>
    <row r="155" spans="1:7" s="236" customFormat="1" x14ac:dyDescent="0.2">
      <c r="A155" s="257">
        <v>40431</v>
      </c>
      <c r="B155" s="258">
        <v>0.58333333333333337</v>
      </c>
      <c r="C155" s="258">
        <v>0.97916666666666663</v>
      </c>
      <c r="D155" s="258">
        <f t="shared" si="6"/>
        <v>0.39583333333333326</v>
      </c>
      <c r="E155" s="247"/>
      <c r="F155" s="252" t="s">
        <v>869</v>
      </c>
      <c r="G155" s="286" t="s">
        <v>870</v>
      </c>
    </row>
    <row r="156" spans="1:7" s="236" customFormat="1" x14ac:dyDescent="0.2">
      <c r="A156" s="257">
        <v>40448</v>
      </c>
      <c r="B156" s="258">
        <v>0.58333333333333337</v>
      </c>
      <c r="C156" s="258">
        <v>0.65625</v>
      </c>
      <c r="D156" s="258">
        <f t="shared" si="6"/>
        <v>7.291666666666663E-2</v>
      </c>
      <c r="E156" s="247"/>
      <c r="F156" s="252" t="s">
        <v>857</v>
      </c>
      <c r="G156" s="286" t="s">
        <v>872</v>
      </c>
    </row>
    <row r="157" spans="1:7" s="236" customFormat="1" x14ac:dyDescent="0.2">
      <c r="A157" s="257">
        <v>40467</v>
      </c>
      <c r="B157" s="258">
        <v>0.45833333333333331</v>
      </c>
      <c r="C157" s="258">
        <v>0.5</v>
      </c>
      <c r="D157" s="258">
        <f t="shared" si="6"/>
        <v>4.1666666666666685E-2</v>
      </c>
      <c r="E157" s="247" t="s">
        <v>139</v>
      </c>
      <c r="F157" s="252" t="s">
        <v>876</v>
      </c>
      <c r="G157" s="286" t="s">
        <v>873</v>
      </c>
    </row>
    <row r="158" spans="1:7" s="236" customFormat="1" x14ac:dyDescent="0.2">
      <c r="A158" s="257">
        <v>40471</v>
      </c>
      <c r="B158" s="258">
        <v>0.63541666666666663</v>
      </c>
      <c r="C158" s="258">
        <v>0.71875</v>
      </c>
      <c r="D158" s="258">
        <f t="shared" si="6"/>
        <v>8.333333333333337E-2</v>
      </c>
      <c r="E158" s="247"/>
      <c r="F158" s="252" t="s">
        <v>524</v>
      </c>
      <c r="G158" s="286" t="s">
        <v>874</v>
      </c>
    </row>
    <row r="159" spans="1:7" s="236" customFormat="1" x14ac:dyDescent="0.2">
      <c r="A159" s="257">
        <v>40472</v>
      </c>
      <c r="B159" s="258">
        <v>0.60416666666666663</v>
      </c>
      <c r="C159" s="258">
        <v>0.6875</v>
      </c>
      <c r="D159" s="258">
        <f t="shared" si="6"/>
        <v>8.333333333333337E-2</v>
      </c>
      <c r="E159" s="247"/>
      <c r="F159" s="252" t="s">
        <v>524</v>
      </c>
      <c r="G159" s="286" t="s">
        <v>875</v>
      </c>
    </row>
    <row r="160" spans="1:7" s="236" customFormat="1" x14ac:dyDescent="0.2">
      <c r="A160" s="257">
        <v>40474</v>
      </c>
      <c r="B160" s="258">
        <v>0.33333333333333331</v>
      </c>
      <c r="C160" s="258">
        <v>0.75</v>
      </c>
      <c r="D160" s="258">
        <f t="shared" si="6"/>
        <v>0.41666666666666669</v>
      </c>
      <c r="E160" s="247" t="s">
        <v>139</v>
      </c>
      <c r="F160" s="252" t="s">
        <v>877</v>
      </c>
      <c r="G160" s="286" t="s">
        <v>835</v>
      </c>
    </row>
    <row r="161" spans="1:7" s="236" customFormat="1" x14ac:dyDescent="0.2">
      <c r="A161" s="257">
        <v>40481</v>
      </c>
      <c r="B161" s="258">
        <v>0.33333333333333331</v>
      </c>
      <c r="C161" s="258">
        <v>0.75</v>
      </c>
      <c r="D161" s="258">
        <f t="shared" si="6"/>
        <v>0.41666666666666669</v>
      </c>
      <c r="E161" s="247" t="s">
        <v>139</v>
      </c>
      <c r="F161" s="252" t="s">
        <v>877</v>
      </c>
      <c r="G161" s="286" t="s">
        <v>835</v>
      </c>
    </row>
    <row r="162" spans="1:7" s="236" customFormat="1" x14ac:dyDescent="0.2">
      <c r="A162" s="257">
        <v>40483</v>
      </c>
      <c r="B162" s="258">
        <v>0.33333333333333331</v>
      </c>
      <c r="C162" s="258">
        <v>0.75</v>
      </c>
      <c r="D162" s="258">
        <f t="shared" si="6"/>
        <v>0.41666666666666669</v>
      </c>
      <c r="E162" s="247" t="s">
        <v>139</v>
      </c>
      <c r="F162" s="252" t="s">
        <v>877</v>
      </c>
      <c r="G162" s="286" t="s">
        <v>835</v>
      </c>
    </row>
    <row r="163" spans="1:7" s="236" customFormat="1" x14ac:dyDescent="0.2">
      <c r="A163" s="257">
        <v>40484</v>
      </c>
      <c r="B163" s="258">
        <v>0.5</v>
      </c>
      <c r="C163" s="258">
        <v>0.77083333333333337</v>
      </c>
      <c r="D163" s="258">
        <f t="shared" si="6"/>
        <v>0.27083333333333337</v>
      </c>
      <c r="E163" s="247" t="s">
        <v>139</v>
      </c>
      <c r="F163" s="252" t="s">
        <v>877</v>
      </c>
      <c r="G163" s="286" t="s">
        <v>835</v>
      </c>
    </row>
    <row r="164" spans="1:7" s="236" customFormat="1" x14ac:dyDescent="0.2">
      <c r="A164" s="257">
        <v>40496</v>
      </c>
      <c r="B164" s="258">
        <v>0.30208333333333331</v>
      </c>
      <c r="C164" s="258">
        <v>0.6875</v>
      </c>
      <c r="D164" s="258">
        <f t="shared" si="6"/>
        <v>0.38541666666666669</v>
      </c>
      <c r="E164" s="247" t="s">
        <v>139</v>
      </c>
      <c r="F164" s="252" t="s">
        <v>524</v>
      </c>
      <c r="G164" s="286" t="s">
        <v>880</v>
      </c>
    </row>
    <row r="165" spans="1:7" s="236" customFormat="1" x14ac:dyDescent="0.2">
      <c r="A165" s="257">
        <v>40512</v>
      </c>
      <c r="B165" s="258">
        <v>0.5625</v>
      </c>
      <c r="C165" s="258">
        <v>0.8125</v>
      </c>
      <c r="D165" s="258">
        <f t="shared" si="6"/>
        <v>0.25</v>
      </c>
      <c r="E165" s="247"/>
      <c r="F165" s="252" t="s">
        <v>524</v>
      </c>
      <c r="G165" s="286" t="s">
        <v>879</v>
      </c>
    </row>
    <row r="166" spans="1:7" s="236" customFormat="1" x14ac:dyDescent="0.2">
      <c r="A166" s="257">
        <v>40587</v>
      </c>
      <c r="B166" s="258">
        <v>0.35416666666666669</v>
      </c>
      <c r="C166" s="258">
        <v>0.85416666666666663</v>
      </c>
      <c r="D166" s="258">
        <f t="shared" ref="D166:D210" si="7">MOD(C166-B166,1)</f>
        <v>0.49999999999999994</v>
      </c>
      <c r="E166" s="247" t="s">
        <v>139</v>
      </c>
      <c r="F166" s="252" t="s">
        <v>780</v>
      </c>
      <c r="G166" s="286" t="s">
        <v>798</v>
      </c>
    </row>
    <row r="167" spans="1:7" s="236" customFormat="1" x14ac:dyDescent="0.2">
      <c r="A167" s="257">
        <v>40621</v>
      </c>
      <c r="B167" s="258">
        <v>0.33333333333333331</v>
      </c>
      <c r="C167" s="258">
        <v>0.9375</v>
      </c>
      <c r="D167" s="258">
        <f t="shared" si="7"/>
        <v>0.60416666666666674</v>
      </c>
      <c r="E167" s="247" t="s">
        <v>139</v>
      </c>
      <c r="F167" s="252" t="s">
        <v>799</v>
      </c>
      <c r="G167" s="286" t="s">
        <v>800</v>
      </c>
    </row>
    <row r="168" spans="1:7" s="236" customFormat="1" x14ac:dyDescent="0.2">
      <c r="A168" s="257">
        <v>40622</v>
      </c>
      <c r="B168" s="258">
        <v>0.33333333333333331</v>
      </c>
      <c r="C168" s="258">
        <v>0.5</v>
      </c>
      <c r="D168" s="258">
        <f t="shared" si="7"/>
        <v>0.16666666666666669</v>
      </c>
      <c r="E168" s="247" t="s">
        <v>139</v>
      </c>
      <c r="F168" s="252" t="s">
        <v>799</v>
      </c>
      <c r="G168" s="286" t="s">
        <v>800</v>
      </c>
    </row>
    <row r="169" spans="1:7" s="236" customFormat="1" x14ac:dyDescent="0.2">
      <c r="A169" s="257">
        <v>40641</v>
      </c>
      <c r="B169" s="258">
        <v>0.60416666666666663</v>
      </c>
      <c r="C169" s="258">
        <v>0.66666666666666663</v>
      </c>
      <c r="D169" s="258">
        <f t="shared" si="7"/>
        <v>6.25E-2</v>
      </c>
      <c r="E169" s="247"/>
      <c r="F169" s="252" t="s">
        <v>524</v>
      </c>
      <c r="G169" s="286" t="s">
        <v>802</v>
      </c>
    </row>
    <row r="170" spans="1:7" s="236" customFormat="1" x14ac:dyDescent="0.2">
      <c r="A170" s="257">
        <v>40670</v>
      </c>
      <c r="B170" s="258">
        <v>0.39583333333333331</v>
      </c>
      <c r="C170" s="258">
        <v>0.875</v>
      </c>
      <c r="D170" s="258">
        <f t="shared" si="7"/>
        <v>0.47916666666666669</v>
      </c>
      <c r="E170" s="247" t="s">
        <v>139</v>
      </c>
      <c r="F170" s="252" t="s">
        <v>524</v>
      </c>
      <c r="G170" s="286" t="s">
        <v>801</v>
      </c>
    </row>
    <row r="171" spans="1:7" s="236" customFormat="1" x14ac:dyDescent="0.2">
      <c r="A171" s="257">
        <v>40671</v>
      </c>
      <c r="B171" s="258">
        <v>0.54166666666666663</v>
      </c>
      <c r="C171" s="258">
        <v>0.89583333333333337</v>
      </c>
      <c r="D171" s="258">
        <f t="shared" si="7"/>
        <v>0.35416666666666674</v>
      </c>
      <c r="E171" s="247" t="s">
        <v>139</v>
      </c>
      <c r="F171" s="252" t="s">
        <v>524</v>
      </c>
      <c r="G171" s="286" t="s">
        <v>803</v>
      </c>
    </row>
    <row r="172" spans="1:7" s="236" customFormat="1" x14ac:dyDescent="0.2">
      <c r="A172" s="257">
        <v>40686</v>
      </c>
      <c r="B172" s="258">
        <v>0.79166666666666663</v>
      </c>
      <c r="C172" s="258">
        <v>5.2083333333333336E-2</v>
      </c>
      <c r="D172" s="258">
        <f t="shared" si="7"/>
        <v>0.26041666666666674</v>
      </c>
      <c r="E172" s="247" t="s">
        <v>227</v>
      </c>
      <c r="F172" s="252" t="s">
        <v>808</v>
      </c>
      <c r="G172" s="286" t="s">
        <v>804</v>
      </c>
    </row>
    <row r="173" spans="1:7" s="236" customFormat="1" x14ac:dyDescent="0.2">
      <c r="A173" s="257">
        <v>40687</v>
      </c>
      <c r="B173" s="258">
        <v>0.77083333333333337</v>
      </c>
      <c r="C173" s="258">
        <v>0</v>
      </c>
      <c r="D173" s="258">
        <f t="shared" si="7"/>
        <v>0.22916666666666663</v>
      </c>
      <c r="E173" s="247" t="s">
        <v>227</v>
      </c>
      <c r="F173" s="252" t="s">
        <v>808</v>
      </c>
      <c r="G173" s="286" t="s">
        <v>805</v>
      </c>
    </row>
    <row r="174" spans="1:7" s="236" customFormat="1" x14ac:dyDescent="0.2">
      <c r="A174" s="257">
        <v>40691</v>
      </c>
      <c r="B174" s="258">
        <v>0.4375</v>
      </c>
      <c r="C174" s="258">
        <v>0.625</v>
      </c>
      <c r="D174" s="258">
        <f t="shared" si="7"/>
        <v>0.1875</v>
      </c>
      <c r="E174" s="247" t="s">
        <v>227</v>
      </c>
      <c r="F174" s="252" t="s">
        <v>524</v>
      </c>
      <c r="G174" s="286" t="s">
        <v>806</v>
      </c>
    </row>
    <row r="175" spans="1:7" s="236" customFormat="1" x14ac:dyDescent="0.2">
      <c r="A175" s="257">
        <v>40700</v>
      </c>
      <c r="B175" s="258">
        <v>0.33333333333333331</v>
      </c>
      <c r="C175" s="258">
        <v>0.52083333333333337</v>
      </c>
      <c r="D175" s="258">
        <f t="shared" si="7"/>
        <v>0.18750000000000006</v>
      </c>
      <c r="E175" s="247" t="s">
        <v>139</v>
      </c>
      <c r="F175" s="252" t="s">
        <v>807</v>
      </c>
      <c r="G175" s="286" t="s">
        <v>810</v>
      </c>
    </row>
    <row r="176" spans="1:7" s="236" customFormat="1" x14ac:dyDescent="0.2">
      <c r="A176" s="257">
        <v>40701</v>
      </c>
      <c r="B176" s="258">
        <v>0.34027777777777773</v>
      </c>
      <c r="C176" s="258">
        <v>0.52083333333333337</v>
      </c>
      <c r="D176" s="258">
        <f t="shared" si="7"/>
        <v>0.18055555555555564</v>
      </c>
      <c r="E176" s="247" t="s">
        <v>139</v>
      </c>
      <c r="F176" s="252" t="s">
        <v>839</v>
      </c>
      <c r="G176" s="286" t="s">
        <v>811</v>
      </c>
    </row>
    <row r="177" spans="1:7" s="236" customFormat="1" x14ac:dyDescent="0.2">
      <c r="A177" s="257">
        <v>40703</v>
      </c>
      <c r="B177" s="258">
        <v>0.64583333333333337</v>
      </c>
      <c r="C177" s="258">
        <v>0.86458333333333337</v>
      </c>
      <c r="D177" s="258">
        <f t="shared" si="7"/>
        <v>0.21875</v>
      </c>
      <c r="E177" s="247" t="s">
        <v>139</v>
      </c>
      <c r="F177" s="252" t="s">
        <v>809</v>
      </c>
      <c r="G177" s="286" t="s">
        <v>812</v>
      </c>
    </row>
    <row r="178" spans="1:7" s="236" customFormat="1" x14ac:dyDescent="0.2">
      <c r="A178" s="257">
        <v>40714</v>
      </c>
      <c r="B178" s="258">
        <v>0.38541666666666669</v>
      </c>
      <c r="C178" s="258">
        <v>0.56944444444444442</v>
      </c>
      <c r="D178" s="258">
        <f t="shared" si="7"/>
        <v>0.18402777777777773</v>
      </c>
      <c r="E178" s="247"/>
      <c r="F178" s="252" t="s">
        <v>524</v>
      </c>
      <c r="G178" s="286" t="s">
        <v>813</v>
      </c>
    </row>
    <row r="179" spans="1:7" s="236" customFormat="1" x14ac:dyDescent="0.2">
      <c r="A179" s="257">
        <v>40714</v>
      </c>
      <c r="B179" s="258">
        <v>0.79166666666666663</v>
      </c>
      <c r="C179" s="258">
        <v>0</v>
      </c>
      <c r="D179" s="258">
        <f t="shared" si="7"/>
        <v>0.20833333333333337</v>
      </c>
      <c r="E179" s="247" t="s">
        <v>244</v>
      </c>
      <c r="F179" s="252" t="s">
        <v>814</v>
      </c>
      <c r="G179" s="286" t="s">
        <v>593</v>
      </c>
    </row>
    <row r="180" spans="1:7" s="236" customFormat="1" x14ac:dyDescent="0.2">
      <c r="A180" s="257">
        <v>40715</v>
      </c>
      <c r="B180" s="258">
        <v>0.39583333333333331</v>
      </c>
      <c r="C180" s="258">
        <v>0.5</v>
      </c>
      <c r="D180" s="258">
        <f t="shared" si="7"/>
        <v>0.10416666666666669</v>
      </c>
      <c r="E180" s="247"/>
      <c r="F180" s="252" t="s">
        <v>816</v>
      </c>
      <c r="G180" s="286" t="s">
        <v>815</v>
      </c>
    </row>
    <row r="181" spans="1:7" s="236" customFormat="1" x14ac:dyDescent="0.2">
      <c r="A181" s="257">
        <v>40716</v>
      </c>
      <c r="B181" s="258">
        <v>0.57291666666666663</v>
      </c>
      <c r="C181" s="258">
        <v>0.70833333333333337</v>
      </c>
      <c r="D181" s="258">
        <f t="shared" si="7"/>
        <v>0.13541666666666674</v>
      </c>
      <c r="E181" s="247"/>
      <c r="F181" s="252" t="s">
        <v>818</v>
      </c>
      <c r="G181" s="286" t="s">
        <v>817</v>
      </c>
    </row>
    <row r="182" spans="1:7" s="236" customFormat="1" x14ac:dyDescent="0.2">
      <c r="A182" s="257">
        <v>40717</v>
      </c>
      <c r="B182" s="258">
        <v>0.70833333333333337</v>
      </c>
      <c r="C182" s="258">
        <v>0</v>
      </c>
      <c r="D182" s="258">
        <f t="shared" si="7"/>
        <v>0.29166666666666663</v>
      </c>
      <c r="E182" s="247" t="s">
        <v>244</v>
      </c>
      <c r="F182" s="252" t="s">
        <v>524</v>
      </c>
      <c r="G182" s="286" t="s">
        <v>246</v>
      </c>
    </row>
    <row r="183" spans="1:7" s="236" customFormat="1" x14ac:dyDescent="0.2">
      <c r="A183" s="257">
        <v>40718</v>
      </c>
      <c r="B183" s="258">
        <v>0.33333333333333331</v>
      </c>
      <c r="C183" s="258">
        <v>0.58333333333333337</v>
      </c>
      <c r="D183" s="258">
        <f t="shared" si="7"/>
        <v>0.25000000000000006</v>
      </c>
      <c r="E183" s="247" t="s">
        <v>244</v>
      </c>
      <c r="F183" s="252" t="s">
        <v>816</v>
      </c>
      <c r="G183" s="286" t="s">
        <v>819</v>
      </c>
    </row>
    <row r="184" spans="1:7" s="236" customFormat="1" x14ac:dyDescent="0.2">
      <c r="A184" s="257">
        <v>40718</v>
      </c>
      <c r="B184" s="258">
        <v>0.58333333333333337</v>
      </c>
      <c r="C184" s="258">
        <v>0.78125</v>
      </c>
      <c r="D184" s="258">
        <f t="shared" si="7"/>
        <v>0.19791666666666663</v>
      </c>
      <c r="E184" s="247" t="s">
        <v>244</v>
      </c>
      <c r="F184" s="252" t="s">
        <v>524</v>
      </c>
      <c r="G184" s="286" t="s">
        <v>820</v>
      </c>
    </row>
    <row r="185" spans="1:7" s="236" customFormat="1" x14ac:dyDescent="0.2">
      <c r="A185" s="257">
        <v>40719</v>
      </c>
      <c r="B185" s="258">
        <v>0.3125</v>
      </c>
      <c r="C185" s="258">
        <v>0.35416666666666669</v>
      </c>
      <c r="D185" s="258">
        <f t="shared" si="7"/>
        <v>4.1666666666666685E-2</v>
      </c>
      <c r="E185" s="247" t="s">
        <v>244</v>
      </c>
      <c r="F185" s="252" t="s">
        <v>524</v>
      </c>
      <c r="G185" s="286" t="s">
        <v>821</v>
      </c>
    </row>
    <row r="186" spans="1:7" s="236" customFormat="1" x14ac:dyDescent="0.2">
      <c r="A186" s="257">
        <v>40719</v>
      </c>
      <c r="B186" s="258">
        <v>0.35416666666666669</v>
      </c>
      <c r="C186" s="258">
        <v>0.41666666666666669</v>
      </c>
      <c r="D186" s="258">
        <f t="shared" si="7"/>
        <v>6.25E-2</v>
      </c>
      <c r="E186" s="247" t="s">
        <v>244</v>
      </c>
      <c r="F186" s="252" t="s">
        <v>524</v>
      </c>
      <c r="G186" s="286" t="s">
        <v>822</v>
      </c>
    </row>
    <row r="187" spans="1:7" s="236" customFormat="1" x14ac:dyDescent="0.2">
      <c r="A187" s="257">
        <v>40719</v>
      </c>
      <c r="B187" s="258">
        <v>0.41666666666666669</v>
      </c>
      <c r="C187" s="258">
        <v>0.5625</v>
      </c>
      <c r="D187" s="258">
        <f t="shared" si="7"/>
        <v>0.14583333333333331</v>
      </c>
      <c r="E187" s="247" t="s">
        <v>244</v>
      </c>
      <c r="F187" s="252" t="s">
        <v>524</v>
      </c>
      <c r="G187" s="286" t="s">
        <v>823</v>
      </c>
    </row>
    <row r="188" spans="1:7" s="236" customFormat="1" x14ac:dyDescent="0.2">
      <c r="A188" s="257">
        <v>40719</v>
      </c>
      <c r="B188" s="258">
        <v>0.5625</v>
      </c>
      <c r="C188" s="258">
        <v>0</v>
      </c>
      <c r="D188" s="258">
        <f t="shared" si="7"/>
        <v>0.4375</v>
      </c>
      <c r="E188" s="247" t="s">
        <v>244</v>
      </c>
      <c r="F188" s="252" t="s">
        <v>816</v>
      </c>
      <c r="G188" s="286" t="s">
        <v>824</v>
      </c>
    </row>
    <row r="189" spans="1:7" s="236" customFormat="1" x14ac:dyDescent="0.2">
      <c r="A189" s="257">
        <v>40720</v>
      </c>
      <c r="B189" s="258">
        <v>0.25</v>
      </c>
      <c r="C189" s="258">
        <v>0.58333333333333337</v>
      </c>
      <c r="D189" s="258">
        <f t="shared" si="7"/>
        <v>0.33333333333333337</v>
      </c>
      <c r="E189" s="247" t="s">
        <v>244</v>
      </c>
      <c r="F189" s="252" t="s">
        <v>524</v>
      </c>
      <c r="G189" s="286" t="s">
        <v>826</v>
      </c>
    </row>
    <row r="190" spans="1:7" s="236" customFormat="1" x14ac:dyDescent="0.2">
      <c r="A190" s="257">
        <v>40722</v>
      </c>
      <c r="B190" s="258">
        <v>0.33333333333333331</v>
      </c>
      <c r="C190" s="258">
        <v>0.4861111111111111</v>
      </c>
      <c r="D190" s="258">
        <f t="shared" si="7"/>
        <v>0.15277777777777779</v>
      </c>
      <c r="E190" s="247"/>
      <c r="F190" s="252" t="s">
        <v>839</v>
      </c>
      <c r="G190" s="286" t="s">
        <v>827</v>
      </c>
    </row>
    <row r="191" spans="1:7" s="236" customFormat="1" x14ac:dyDescent="0.2">
      <c r="A191" s="257">
        <v>40728</v>
      </c>
      <c r="B191" s="258">
        <v>0.33680555555555558</v>
      </c>
      <c r="C191" s="258">
        <v>0.58333333333333337</v>
      </c>
      <c r="D191" s="258">
        <f t="shared" si="7"/>
        <v>0.24652777777777779</v>
      </c>
      <c r="E191" s="247"/>
      <c r="F191" s="252" t="s">
        <v>809</v>
      </c>
      <c r="G191" s="286" t="s">
        <v>812</v>
      </c>
    </row>
    <row r="192" spans="1:7" s="236" customFormat="1" x14ac:dyDescent="0.2">
      <c r="A192" s="257">
        <v>40743</v>
      </c>
      <c r="B192" s="258">
        <v>0.41666666666666669</v>
      </c>
      <c r="C192" s="258">
        <v>0.46875</v>
      </c>
      <c r="D192" s="258">
        <f t="shared" si="7"/>
        <v>5.2083333333333315E-2</v>
      </c>
      <c r="E192" s="247"/>
      <c r="F192" s="252" t="s">
        <v>524</v>
      </c>
      <c r="G192" s="286" t="s">
        <v>828</v>
      </c>
    </row>
    <row r="193" spans="1:7" s="236" customFormat="1" x14ac:dyDescent="0.2">
      <c r="A193" s="257">
        <v>40743</v>
      </c>
      <c r="B193" s="258">
        <v>0.46875</v>
      </c>
      <c r="C193" s="258">
        <v>0.54166666666666663</v>
      </c>
      <c r="D193" s="258">
        <f t="shared" si="7"/>
        <v>7.291666666666663E-2</v>
      </c>
      <c r="E193" s="247" t="s">
        <v>904</v>
      </c>
      <c r="F193" s="252" t="s">
        <v>825</v>
      </c>
      <c r="G193" s="286" t="s">
        <v>829</v>
      </c>
    </row>
    <row r="194" spans="1:7" s="236" customFormat="1" x14ac:dyDescent="0.2">
      <c r="A194" s="257">
        <v>40753</v>
      </c>
      <c r="B194" s="258">
        <v>0.39583333333333331</v>
      </c>
      <c r="C194" s="258">
        <v>0.52083333333333337</v>
      </c>
      <c r="D194" s="258">
        <f t="shared" si="7"/>
        <v>0.12500000000000006</v>
      </c>
      <c r="E194" s="247" t="s">
        <v>904</v>
      </c>
      <c r="F194" s="252" t="s">
        <v>524</v>
      </c>
      <c r="G194" s="286" t="s">
        <v>830</v>
      </c>
    </row>
    <row r="195" spans="1:7" s="236" customFormat="1" x14ac:dyDescent="0.2">
      <c r="A195" s="257">
        <v>40802</v>
      </c>
      <c r="B195" s="258">
        <v>0.4375</v>
      </c>
      <c r="C195" s="258">
        <v>0.52083333333333337</v>
      </c>
      <c r="D195" s="258">
        <f t="shared" si="7"/>
        <v>8.333333333333337E-2</v>
      </c>
      <c r="E195" s="247"/>
      <c r="F195" s="252" t="s">
        <v>840</v>
      </c>
      <c r="G195" s="286" t="s">
        <v>831</v>
      </c>
    </row>
    <row r="196" spans="1:7" s="236" customFormat="1" x14ac:dyDescent="0.2">
      <c r="A196" s="257">
        <v>40803</v>
      </c>
      <c r="B196" s="258">
        <v>0.35416666666666669</v>
      </c>
      <c r="C196" s="258">
        <v>0.52083333333333337</v>
      </c>
      <c r="D196" s="258">
        <f t="shared" si="7"/>
        <v>0.16666666666666669</v>
      </c>
      <c r="E196" s="247"/>
      <c r="F196" s="252" t="s">
        <v>840</v>
      </c>
      <c r="G196" s="286" t="s">
        <v>832</v>
      </c>
    </row>
    <row r="197" spans="1:7" s="236" customFormat="1" x14ac:dyDescent="0.2">
      <c r="A197" s="257">
        <v>40810</v>
      </c>
      <c r="B197" s="258">
        <v>0.8125</v>
      </c>
      <c r="C197" s="258">
        <v>0.9375</v>
      </c>
      <c r="D197" s="258">
        <f t="shared" si="7"/>
        <v>0.125</v>
      </c>
      <c r="E197" s="247" t="s">
        <v>139</v>
      </c>
      <c r="F197" s="252" t="s">
        <v>524</v>
      </c>
      <c r="G197" s="286" t="s">
        <v>833</v>
      </c>
    </row>
    <row r="198" spans="1:7" s="236" customFormat="1" x14ac:dyDescent="0.2">
      <c r="A198" s="257">
        <v>40838</v>
      </c>
      <c r="B198" s="258">
        <v>0.3125</v>
      </c>
      <c r="C198" s="258">
        <v>0.58333333333333337</v>
      </c>
      <c r="D198" s="258">
        <f t="shared" si="7"/>
        <v>0.27083333333333337</v>
      </c>
      <c r="E198" s="250" t="s">
        <v>278</v>
      </c>
      <c r="F198" s="252" t="s">
        <v>834</v>
      </c>
      <c r="G198" s="286" t="s">
        <v>835</v>
      </c>
    </row>
    <row r="199" spans="1:7" s="236" customFormat="1" x14ac:dyDescent="0.2">
      <c r="A199" s="257">
        <v>40838</v>
      </c>
      <c r="B199" s="258">
        <v>0.58333333333333337</v>
      </c>
      <c r="C199" s="258">
        <v>0.79166666666666663</v>
      </c>
      <c r="D199" s="258">
        <f t="shared" si="7"/>
        <v>0.20833333333333326</v>
      </c>
      <c r="E199" s="250" t="s">
        <v>278</v>
      </c>
      <c r="F199" s="252" t="s">
        <v>834</v>
      </c>
      <c r="G199" s="286" t="s">
        <v>835</v>
      </c>
    </row>
    <row r="200" spans="1:7" s="236" customFormat="1" x14ac:dyDescent="0.2">
      <c r="A200" s="257">
        <v>40845</v>
      </c>
      <c r="B200" s="258">
        <v>0.3125</v>
      </c>
      <c r="C200" s="258">
        <v>0.58333333333333337</v>
      </c>
      <c r="D200" s="258">
        <f t="shared" si="7"/>
        <v>0.27083333333333337</v>
      </c>
      <c r="E200" s="250" t="s">
        <v>278</v>
      </c>
      <c r="F200" s="252" t="s">
        <v>834</v>
      </c>
      <c r="G200" s="286" t="s">
        <v>835</v>
      </c>
    </row>
    <row r="201" spans="1:7" s="236" customFormat="1" x14ac:dyDescent="0.2">
      <c r="A201" s="257">
        <v>40845</v>
      </c>
      <c r="B201" s="258">
        <v>0.58333333333333337</v>
      </c>
      <c r="C201" s="258">
        <v>0.80208333333333337</v>
      </c>
      <c r="D201" s="258">
        <f t="shared" si="7"/>
        <v>0.21875</v>
      </c>
      <c r="E201" s="250" t="s">
        <v>278</v>
      </c>
      <c r="F201" s="252" t="s">
        <v>834</v>
      </c>
      <c r="G201" s="286" t="s">
        <v>835</v>
      </c>
    </row>
    <row r="202" spans="1:7" s="236" customFormat="1" x14ac:dyDescent="0.2">
      <c r="A202" s="257">
        <v>40847</v>
      </c>
      <c r="B202" s="258">
        <v>0.3125</v>
      </c>
      <c r="C202" s="258">
        <v>0.58333333333333337</v>
      </c>
      <c r="D202" s="258">
        <f t="shared" si="7"/>
        <v>0.27083333333333337</v>
      </c>
      <c r="E202" s="250" t="s">
        <v>278</v>
      </c>
      <c r="F202" s="252" t="s">
        <v>834</v>
      </c>
      <c r="G202" s="286" t="s">
        <v>835</v>
      </c>
    </row>
    <row r="203" spans="1:7" s="236" customFormat="1" x14ac:dyDescent="0.2">
      <c r="A203" s="257">
        <v>40847</v>
      </c>
      <c r="B203" s="258">
        <v>0.58333333333333337</v>
      </c>
      <c r="C203" s="258">
        <v>0.80208333333333337</v>
      </c>
      <c r="D203" s="258">
        <f t="shared" si="7"/>
        <v>0.21875</v>
      </c>
      <c r="E203" s="250" t="s">
        <v>278</v>
      </c>
      <c r="F203" s="252" t="s">
        <v>834</v>
      </c>
      <c r="G203" s="286" t="s">
        <v>835</v>
      </c>
    </row>
    <row r="204" spans="1:7" s="236" customFormat="1" x14ac:dyDescent="0.2">
      <c r="A204" s="257">
        <v>40848</v>
      </c>
      <c r="B204" s="258">
        <v>0.3125</v>
      </c>
      <c r="C204" s="258">
        <v>0.58333333333333337</v>
      </c>
      <c r="D204" s="258">
        <f t="shared" si="7"/>
        <v>0.27083333333333337</v>
      </c>
      <c r="E204" s="250" t="s">
        <v>278</v>
      </c>
      <c r="F204" s="252" t="s">
        <v>834</v>
      </c>
      <c r="G204" s="286" t="s">
        <v>835</v>
      </c>
    </row>
    <row r="205" spans="1:7" s="236" customFormat="1" x14ac:dyDescent="0.2">
      <c r="A205" s="257">
        <v>40848</v>
      </c>
      <c r="B205" s="258">
        <v>0.58333333333333337</v>
      </c>
      <c r="C205" s="258">
        <v>0.8125</v>
      </c>
      <c r="D205" s="258">
        <f t="shared" si="7"/>
        <v>0.22916666666666663</v>
      </c>
      <c r="E205" s="250" t="s">
        <v>278</v>
      </c>
      <c r="F205" s="252" t="s">
        <v>834</v>
      </c>
      <c r="G205" s="286" t="s">
        <v>835</v>
      </c>
    </row>
    <row r="206" spans="1:7" s="236" customFormat="1" x14ac:dyDescent="0.2">
      <c r="A206" s="257">
        <v>40849</v>
      </c>
      <c r="B206" s="258">
        <v>0.3125</v>
      </c>
      <c r="C206" s="258">
        <v>0.58333333333333337</v>
      </c>
      <c r="D206" s="258">
        <f t="shared" si="7"/>
        <v>0.27083333333333337</v>
      </c>
      <c r="E206" s="250" t="s">
        <v>278</v>
      </c>
      <c r="F206" s="252" t="s">
        <v>834</v>
      </c>
      <c r="G206" s="286" t="s">
        <v>835</v>
      </c>
    </row>
    <row r="207" spans="1:7" s="236" customFormat="1" x14ac:dyDescent="0.2">
      <c r="A207" s="257">
        <v>40849</v>
      </c>
      <c r="B207" s="258">
        <v>0.58333333333333337</v>
      </c>
      <c r="C207" s="258">
        <v>0.80208333333333337</v>
      </c>
      <c r="D207" s="258">
        <f t="shared" si="7"/>
        <v>0.21875</v>
      </c>
      <c r="E207" s="250" t="s">
        <v>278</v>
      </c>
      <c r="F207" s="252" t="s">
        <v>834</v>
      </c>
      <c r="G207" s="286" t="s">
        <v>835</v>
      </c>
    </row>
    <row r="208" spans="1:7" s="236" customFormat="1" x14ac:dyDescent="0.2">
      <c r="A208" s="257">
        <v>40862</v>
      </c>
      <c r="B208" s="258">
        <v>0.25</v>
      </c>
      <c r="C208" s="258">
        <v>0.64583333333333337</v>
      </c>
      <c r="D208" s="258">
        <f t="shared" si="7"/>
        <v>0.39583333333333337</v>
      </c>
      <c r="E208" s="247" t="s">
        <v>139</v>
      </c>
      <c r="F208" s="252" t="s">
        <v>838</v>
      </c>
      <c r="G208" s="286" t="s">
        <v>837</v>
      </c>
    </row>
    <row r="209" spans="1:7" s="236" customFormat="1" x14ac:dyDescent="0.2">
      <c r="A209" s="257">
        <v>40868</v>
      </c>
      <c r="B209" s="258">
        <v>0.41666666666666669</v>
      </c>
      <c r="C209" s="258">
        <v>0.58333333333333337</v>
      </c>
      <c r="D209" s="258">
        <f t="shared" si="7"/>
        <v>0.16666666666666669</v>
      </c>
      <c r="E209" s="250" t="s">
        <v>278</v>
      </c>
      <c r="F209" s="252" t="s">
        <v>524</v>
      </c>
      <c r="G209" s="286" t="s">
        <v>836</v>
      </c>
    </row>
    <row r="210" spans="1:7" s="236" customFormat="1" x14ac:dyDescent="0.2">
      <c r="A210" s="257">
        <v>40868</v>
      </c>
      <c r="B210" s="258">
        <v>0.58333333333333337</v>
      </c>
      <c r="C210" s="258">
        <v>0.77083333333333337</v>
      </c>
      <c r="D210" s="258">
        <f t="shared" si="7"/>
        <v>0.1875</v>
      </c>
      <c r="E210" s="250" t="s">
        <v>278</v>
      </c>
      <c r="F210" s="252" t="s">
        <v>524</v>
      </c>
      <c r="G210" s="286" t="s">
        <v>836</v>
      </c>
    </row>
    <row r="211" spans="1:7" s="236" customFormat="1" x14ac:dyDescent="0.2">
      <c r="A211" s="257">
        <v>40940</v>
      </c>
      <c r="B211" s="258">
        <v>0.61458333333333337</v>
      </c>
      <c r="C211" s="258">
        <v>0.6875</v>
      </c>
      <c r="D211" s="258">
        <f t="shared" ref="D211:D242" si="8">MOD(C211-B211,1)</f>
        <v>7.291666666666663E-2</v>
      </c>
      <c r="E211" s="247"/>
      <c r="F211" s="252" t="s">
        <v>524</v>
      </c>
      <c r="G211" s="286" t="s">
        <v>617</v>
      </c>
    </row>
    <row r="212" spans="1:7" s="236" customFormat="1" x14ac:dyDescent="0.2">
      <c r="A212" s="257">
        <v>40946</v>
      </c>
      <c r="B212" s="258">
        <v>5.2083333333333336E-2</v>
      </c>
      <c r="C212" s="258">
        <v>0.39583333333333331</v>
      </c>
      <c r="D212" s="258">
        <f t="shared" si="8"/>
        <v>0.34375</v>
      </c>
      <c r="E212" s="247" t="s">
        <v>139</v>
      </c>
      <c r="F212" s="252" t="s">
        <v>524</v>
      </c>
      <c r="G212" s="286" t="s">
        <v>618</v>
      </c>
    </row>
    <row r="213" spans="1:7" s="236" customFormat="1" x14ac:dyDescent="0.2">
      <c r="A213" s="257">
        <v>40948</v>
      </c>
      <c r="B213" s="258">
        <v>0.5625</v>
      </c>
      <c r="C213" s="258">
        <v>0.70833333333333337</v>
      </c>
      <c r="D213" s="258">
        <f t="shared" si="8"/>
        <v>0.14583333333333337</v>
      </c>
      <c r="E213" s="247" t="s">
        <v>139</v>
      </c>
      <c r="F213" s="252" t="s">
        <v>524</v>
      </c>
      <c r="G213" s="286" t="s">
        <v>619</v>
      </c>
    </row>
    <row r="214" spans="1:7" s="236" customFormat="1" x14ac:dyDescent="0.2">
      <c r="A214" s="257">
        <v>40949</v>
      </c>
      <c r="B214" s="258">
        <v>0.70833333333333337</v>
      </c>
      <c r="C214" s="258">
        <v>0.78472222222222221</v>
      </c>
      <c r="D214" s="258">
        <f t="shared" si="8"/>
        <v>7.638888888888884E-2</v>
      </c>
      <c r="E214" s="247"/>
      <c r="F214" s="252" t="s">
        <v>524</v>
      </c>
      <c r="G214" s="286" t="s">
        <v>620</v>
      </c>
    </row>
    <row r="215" spans="1:7" s="236" customFormat="1" x14ac:dyDescent="0.2">
      <c r="A215" s="257">
        <v>40997</v>
      </c>
      <c r="B215" s="258">
        <v>0.59375</v>
      </c>
      <c r="C215" s="258">
        <v>0.69791666666666663</v>
      </c>
      <c r="D215" s="258">
        <f t="shared" si="8"/>
        <v>0.10416666666666663</v>
      </c>
      <c r="E215" s="247"/>
      <c r="F215" s="252" t="s">
        <v>616</v>
      </c>
      <c r="G215" s="286" t="s">
        <v>292</v>
      </c>
    </row>
    <row r="216" spans="1:7" s="236" customFormat="1" x14ac:dyDescent="0.2">
      <c r="A216" s="257">
        <v>40998</v>
      </c>
      <c r="B216" s="258">
        <v>0.8125</v>
      </c>
      <c r="C216" s="258">
        <v>0.89583333333333337</v>
      </c>
      <c r="D216" s="258">
        <f t="shared" si="8"/>
        <v>8.333333333333337E-2</v>
      </c>
      <c r="E216" s="247"/>
      <c r="F216" s="252" t="s">
        <v>524</v>
      </c>
      <c r="G216" s="286" t="s">
        <v>294</v>
      </c>
    </row>
    <row r="217" spans="1:7" s="236" customFormat="1" x14ac:dyDescent="0.2">
      <c r="A217" s="257">
        <v>40999</v>
      </c>
      <c r="B217" s="258">
        <v>0.26041666666666669</v>
      </c>
      <c r="C217" s="258">
        <v>0.73958333333333337</v>
      </c>
      <c r="D217" s="258">
        <f t="shared" si="8"/>
        <v>0.47916666666666669</v>
      </c>
      <c r="E217" s="247" t="s">
        <v>139</v>
      </c>
      <c r="F217" s="252" t="s">
        <v>530</v>
      </c>
      <c r="G217" s="286" t="s">
        <v>621</v>
      </c>
    </row>
    <row r="218" spans="1:7" s="236" customFormat="1" x14ac:dyDescent="0.2">
      <c r="A218" s="257">
        <v>41000</v>
      </c>
      <c r="B218" s="258">
        <v>0.27083333333333331</v>
      </c>
      <c r="C218" s="258">
        <v>0.66666666666666663</v>
      </c>
      <c r="D218" s="258">
        <f t="shared" si="8"/>
        <v>0.39583333333333331</v>
      </c>
      <c r="E218" s="247" t="s">
        <v>139</v>
      </c>
      <c r="F218" s="252" t="s">
        <v>530</v>
      </c>
      <c r="G218" s="286" t="s">
        <v>622</v>
      </c>
    </row>
    <row r="219" spans="1:7" s="236" customFormat="1" x14ac:dyDescent="0.2">
      <c r="A219" s="257">
        <v>41021</v>
      </c>
      <c r="B219" s="258">
        <v>0.30208333333333331</v>
      </c>
      <c r="C219" s="258">
        <v>0.5</v>
      </c>
      <c r="D219" s="258">
        <f t="shared" si="8"/>
        <v>0.19791666666666669</v>
      </c>
      <c r="E219" s="247" t="s">
        <v>139</v>
      </c>
      <c r="F219" s="252" t="s">
        <v>524</v>
      </c>
      <c r="G219" s="286" t="s">
        <v>637</v>
      </c>
    </row>
    <row r="220" spans="1:7" s="236" customFormat="1" x14ac:dyDescent="0.2">
      <c r="A220" s="257">
        <v>41030</v>
      </c>
      <c r="B220" s="258">
        <v>0.29166666666666669</v>
      </c>
      <c r="C220" s="258">
        <v>0.58333333333333337</v>
      </c>
      <c r="D220" s="258">
        <f t="shared" si="8"/>
        <v>0.29166666666666669</v>
      </c>
      <c r="E220" s="247" t="s">
        <v>139</v>
      </c>
      <c r="F220" s="252" t="s">
        <v>524</v>
      </c>
      <c r="G220" s="286" t="s">
        <v>638</v>
      </c>
    </row>
    <row r="221" spans="1:7" s="236" customFormat="1" x14ac:dyDescent="0.2">
      <c r="A221" s="257">
        <v>41033</v>
      </c>
      <c r="B221" s="258">
        <v>0.63541666666666663</v>
      </c>
      <c r="C221" s="258">
        <v>0.75</v>
      </c>
      <c r="D221" s="258">
        <f t="shared" si="8"/>
        <v>0.11458333333333337</v>
      </c>
      <c r="E221" s="247"/>
      <c r="F221" s="252" t="s">
        <v>524</v>
      </c>
      <c r="G221" s="286" t="s">
        <v>639</v>
      </c>
    </row>
    <row r="222" spans="1:7" s="236" customFormat="1" x14ac:dyDescent="0.2">
      <c r="A222" s="257">
        <v>41035</v>
      </c>
      <c r="B222" s="258">
        <v>0.4375</v>
      </c>
      <c r="C222" s="258">
        <v>0.47916666666666669</v>
      </c>
      <c r="D222" s="258">
        <f t="shared" si="8"/>
        <v>4.1666666666666685E-2</v>
      </c>
      <c r="E222" s="247"/>
      <c r="F222" s="252" t="s">
        <v>524</v>
      </c>
      <c r="G222" s="286" t="s">
        <v>640</v>
      </c>
    </row>
    <row r="223" spans="1:7" s="236" customFormat="1" x14ac:dyDescent="0.2">
      <c r="A223" s="257">
        <v>41042</v>
      </c>
      <c r="B223" s="258">
        <v>0.63541666666666663</v>
      </c>
      <c r="C223" s="258">
        <v>5.2083333333333336E-2</v>
      </c>
      <c r="D223" s="258">
        <f t="shared" si="8"/>
        <v>0.41666666666666674</v>
      </c>
      <c r="E223" s="247" t="s">
        <v>139</v>
      </c>
      <c r="F223" s="252" t="s">
        <v>524</v>
      </c>
      <c r="G223" s="286" t="s">
        <v>641</v>
      </c>
    </row>
    <row r="224" spans="1:7" s="236" customFormat="1" x14ac:dyDescent="0.2">
      <c r="A224" s="257">
        <v>41048</v>
      </c>
      <c r="B224" s="258">
        <v>0.35416666666666669</v>
      </c>
      <c r="C224" s="258">
        <v>0.5625</v>
      </c>
      <c r="D224" s="258">
        <f t="shared" si="8"/>
        <v>0.20833333333333331</v>
      </c>
      <c r="E224" s="247" t="s">
        <v>139</v>
      </c>
      <c r="F224" s="252" t="s">
        <v>524</v>
      </c>
      <c r="G224" s="286" t="s">
        <v>642</v>
      </c>
    </row>
    <row r="225" spans="1:7" s="236" customFormat="1" x14ac:dyDescent="0.2">
      <c r="A225" s="257">
        <v>41049</v>
      </c>
      <c r="B225" s="258">
        <v>0.55208333333333337</v>
      </c>
      <c r="C225" s="258">
        <v>0.79166666666666663</v>
      </c>
      <c r="D225" s="258">
        <f t="shared" si="8"/>
        <v>0.23958333333333326</v>
      </c>
      <c r="E225" s="247" t="s">
        <v>139</v>
      </c>
      <c r="F225" s="252" t="s">
        <v>524</v>
      </c>
      <c r="G225" s="286" t="s">
        <v>643</v>
      </c>
    </row>
    <row r="226" spans="1:7" s="236" customFormat="1" x14ac:dyDescent="0.2">
      <c r="A226" s="257">
        <v>41053</v>
      </c>
      <c r="B226" s="258">
        <v>0.35416666666666669</v>
      </c>
      <c r="C226" s="258">
        <v>0.47916666666666669</v>
      </c>
      <c r="D226" s="258">
        <f t="shared" si="8"/>
        <v>0.125</v>
      </c>
      <c r="E226" s="247" t="s">
        <v>139</v>
      </c>
      <c r="F226" s="252" t="s">
        <v>530</v>
      </c>
      <c r="G226" s="286" t="s">
        <v>644</v>
      </c>
    </row>
    <row r="227" spans="1:7" s="236" customFormat="1" x14ac:dyDescent="0.2">
      <c r="A227" s="257">
        <v>41053</v>
      </c>
      <c r="B227" s="258">
        <v>0.47916666666666669</v>
      </c>
      <c r="C227" s="258">
        <v>0.57291666666666663</v>
      </c>
      <c r="D227" s="258">
        <f t="shared" si="8"/>
        <v>9.3749999999999944E-2</v>
      </c>
      <c r="E227" s="247" t="s">
        <v>139</v>
      </c>
      <c r="F227" s="252" t="s">
        <v>524</v>
      </c>
      <c r="G227" s="286" t="s">
        <v>645</v>
      </c>
    </row>
    <row r="228" spans="1:7" s="236" customFormat="1" x14ac:dyDescent="0.2">
      <c r="A228" s="257">
        <v>41053</v>
      </c>
      <c r="B228" s="258">
        <v>0.57291666666666663</v>
      </c>
      <c r="C228" s="258">
        <v>0.8125</v>
      </c>
      <c r="D228" s="258">
        <f t="shared" si="8"/>
        <v>0.23958333333333337</v>
      </c>
      <c r="E228" s="247" t="s">
        <v>139</v>
      </c>
      <c r="F228" s="252" t="s">
        <v>524</v>
      </c>
      <c r="G228" s="286" t="s">
        <v>646</v>
      </c>
    </row>
    <row r="229" spans="1:7" s="236" customFormat="1" x14ac:dyDescent="0.2">
      <c r="A229" s="257">
        <v>41054</v>
      </c>
      <c r="B229" s="258">
        <v>0.2638888888888889</v>
      </c>
      <c r="C229" s="258">
        <v>0.52083333333333337</v>
      </c>
      <c r="D229" s="258">
        <f t="shared" si="8"/>
        <v>0.25694444444444448</v>
      </c>
      <c r="E229" s="247" t="s">
        <v>139</v>
      </c>
      <c r="F229" s="252" t="s">
        <v>539</v>
      </c>
      <c r="G229" s="286" t="s">
        <v>632</v>
      </c>
    </row>
    <row r="230" spans="1:7" s="236" customFormat="1" x14ac:dyDescent="0.2">
      <c r="A230" s="257">
        <v>41055</v>
      </c>
      <c r="B230" s="258">
        <v>0.52083333333333337</v>
      </c>
      <c r="C230" s="258">
        <v>0.5625</v>
      </c>
      <c r="D230" s="258">
        <f t="shared" si="8"/>
        <v>4.166666666666663E-2</v>
      </c>
      <c r="E230" s="247" t="s">
        <v>139</v>
      </c>
      <c r="F230" s="252" t="s">
        <v>539</v>
      </c>
      <c r="G230" s="286" t="s">
        <v>633</v>
      </c>
    </row>
    <row r="231" spans="1:7" s="236" customFormat="1" x14ac:dyDescent="0.2">
      <c r="A231" s="257">
        <v>41056</v>
      </c>
      <c r="B231" s="258">
        <v>0.5625</v>
      </c>
      <c r="C231" s="258">
        <v>0.64583333333333337</v>
      </c>
      <c r="D231" s="258">
        <f t="shared" si="8"/>
        <v>8.333333333333337E-2</v>
      </c>
      <c r="E231" s="247" t="s">
        <v>139</v>
      </c>
      <c r="F231" s="252" t="s">
        <v>524</v>
      </c>
      <c r="G231" s="286" t="s">
        <v>631</v>
      </c>
    </row>
    <row r="232" spans="1:7" s="236" customFormat="1" x14ac:dyDescent="0.2">
      <c r="A232" s="257">
        <v>41057</v>
      </c>
      <c r="B232" s="258">
        <v>0.64583333333333337</v>
      </c>
      <c r="C232" s="258">
        <v>0.72916666666666663</v>
      </c>
      <c r="D232" s="258">
        <f t="shared" si="8"/>
        <v>8.3333333333333259E-2</v>
      </c>
      <c r="E232" s="247" t="s">
        <v>139</v>
      </c>
      <c r="F232" s="252" t="s">
        <v>524</v>
      </c>
      <c r="G232" s="286" t="s">
        <v>630</v>
      </c>
    </row>
    <row r="233" spans="1:7" s="236" customFormat="1" x14ac:dyDescent="0.2">
      <c r="A233" s="257">
        <v>41055</v>
      </c>
      <c r="B233" s="258">
        <v>0.60416666666666663</v>
      </c>
      <c r="C233" s="258">
        <v>0.9375</v>
      </c>
      <c r="D233" s="258">
        <f t="shared" si="8"/>
        <v>0.33333333333333337</v>
      </c>
      <c r="E233" s="247" t="s">
        <v>139</v>
      </c>
      <c r="F233" s="252" t="s">
        <v>524</v>
      </c>
      <c r="G233" s="286" t="s">
        <v>629</v>
      </c>
    </row>
    <row r="234" spans="1:7" s="236" customFormat="1" x14ac:dyDescent="0.2">
      <c r="A234" s="257">
        <v>41059</v>
      </c>
      <c r="B234" s="258">
        <v>0.35416666666666669</v>
      </c>
      <c r="C234" s="258">
        <v>0.47916666666666669</v>
      </c>
      <c r="D234" s="258">
        <f t="shared" si="8"/>
        <v>0.125</v>
      </c>
      <c r="E234" s="247" t="s">
        <v>139</v>
      </c>
      <c r="F234" s="252" t="s">
        <v>524</v>
      </c>
      <c r="G234" s="286" t="s">
        <v>628</v>
      </c>
    </row>
    <row r="235" spans="1:7" s="236" customFormat="1" x14ac:dyDescent="0.2">
      <c r="A235" s="257">
        <v>41060</v>
      </c>
      <c r="B235" s="258">
        <v>0.58333333333333337</v>
      </c>
      <c r="C235" s="258">
        <v>0.10416666666666667</v>
      </c>
      <c r="D235" s="258">
        <f t="shared" si="8"/>
        <v>0.52083333333333326</v>
      </c>
      <c r="E235" s="247" t="s">
        <v>139</v>
      </c>
      <c r="F235" s="252" t="s">
        <v>626</v>
      </c>
      <c r="G235" s="286" t="s">
        <v>627</v>
      </c>
    </row>
    <row r="236" spans="1:7" s="236" customFormat="1" x14ac:dyDescent="0.2">
      <c r="A236" s="257">
        <v>41060</v>
      </c>
      <c r="B236" s="258">
        <v>0.35416666666666669</v>
      </c>
      <c r="C236" s="258">
        <v>0.72916666666666663</v>
      </c>
      <c r="D236" s="258">
        <f t="shared" si="8"/>
        <v>0.37499999999999994</v>
      </c>
      <c r="E236" s="247" t="s">
        <v>139</v>
      </c>
      <c r="F236" s="252" t="s">
        <v>625</v>
      </c>
      <c r="G236" s="286" t="s">
        <v>634</v>
      </c>
    </row>
    <row r="237" spans="1:7" s="236" customFormat="1" x14ac:dyDescent="0.2">
      <c r="A237" s="257">
        <v>41065</v>
      </c>
      <c r="B237" s="258">
        <v>0.3125</v>
      </c>
      <c r="C237" s="258">
        <v>0.5625</v>
      </c>
      <c r="D237" s="258">
        <f t="shared" si="8"/>
        <v>0.25</v>
      </c>
      <c r="E237" s="247" t="s">
        <v>139</v>
      </c>
      <c r="F237" s="252" t="s">
        <v>524</v>
      </c>
      <c r="G237" s="286" t="s">
        <v>624</v>
      </c>
    </row>
    <row r="238" spans="1:7" s="236" customFormat="1" x14ac:dyDescent="0.2">
      <c r="A238" s="257">
        <v>41070</v>
      </c>
      <c r="B238" s="258">
        <v>0.35416666666666669</v>
      </c>
      <c r="C238" s="258">
        <v>0.74305555555555547</v>
      </c>
      <c r="D238" s="258">
        <f t="shared" si="8"/>
        <v>0.38888888888888878</v>
      </c>
      <c r="E238" s="247" t="s">
        <v>139</v>
      </c>
      <c r="F238" s="252" t="s">
        <v>647</v>
      </c>
      <c r="G238" s="286" t="s">
        <v>648</v>
      </c>
    </row>
    <row r="239" spans="1:7" s="236" customFormat="1" x14ac:dyDescent="0.2">
      <c r="A239" s="257">
        <v>41071</v>
      </c>
      <c r="B239" s="258">
        <v>0.3125</v>
      </c>
      <c r="C239" s="258">
        <v>0.5625</v>
      </c>
      <c r="D239" s="258">
        <f t="shared" si="8"/>
        <v>0.25</v>
      </c>
      <c r="E239" s="247" t="s">
        <v>139</v>
      </c>
      <c r="F239" s="252" t="s">
        <v>635</v>
      </c>
      <c r="G239" s="286" t="s">
        <v>636</v>
      </c>
    </row>
    <row r="240" spans="1:7" s="236" customFormat="1" x14ac:dyDescent="0.2">
      <c r="A240" s="257">
        <v>41083</v>
      </c>
      <c r="B240" s="258">
        <v>0.65625</v>
      </c>
      <c r="C240" s="258">
        <v>0.95833333333333337</v>
      </c>
      <c r="D240" s="258">
        <f t="shared" si="8"/>
        <v>0.30208333333333337</v>
      </c>
      <c r="E240" s="247" t="s">
        <v>139</v>
      </c>
      <c r="F240" s="252" t="s">
        <v>524</v>
      </c>
      <c r="G240" s="286" t="s">
        <v>623</v>
      </c>
    </row>
    <row r="241" spans="1:7" s="236" customFormat="1" x14ac:dyDescent="0.2">
      <c r="A241" s="257">
        <v>41085</v>
      </c>
      <c r="B241" s="258">
        <v>0.58333333333333337</v>
      </c>
      <c r="C241" s="258">
        <v>0</v>
      </c>
      <c r="D241" s="258">
        <f t="shared" si="8"/>
        <v>0.41666666666666663</v>
      </c>
      <c r="E241" s="247" t="s">
        <v>139</v>
      </c>
      <c r="F241" s="252" t="s">
        <v>649</v>
      </c>
      <c r="G241" s="286" t="s">
        <v>651</v>
      </c>
    </row>
    <row r="242" spans="1:7" s="236" customFormat="1" x14ac:dyDescent="0.2">
      <c r="A242" s="257">
        <v>41086</v>
      </c>
      <c r="B242" s="258">
        <v>0</v>
      </c>
      <c r="C242" s="258">
        <v>0.89583333333333337</v>
      </c>
      <c r="D242" s="258">
        <f t="shared" si="8"/>
        <v>0.89583333333333337</v>
      </c>
      <c r="E242" s="247" t="s">
        <v>139</v>
      </c>
      <c r="F242" s="252" t="s">
        <v>650</v>
      </c>
      <c r="G242" s="286" t="s">
        <v>652</v>
      </c>
    </row>
    <row r="243" spans="1:7" s="236" customFormat="1" x14ac:dyDescent="0.2">
      <c r="A243" s="257">
        <v>41087</v>
      </c>
      <c r="B243" s="258">
        <v>0.72916666666666663</v>
      </c>
      <c r="C243" s="258">
        <v>0.8125</v>
      </c>
      <c r="D243" s="258">
        <f t="shared" ref="D243:D274" si="9">MOD(C243-B243,1)</f>
        <v>8.333333333333337E-2</v>
      </c>
      <c r="E243" s="247" t="s">
        <v>139</v>
      </c>
      <c r="F243" s="252" t="s">
        <v>524</v>
      </c>
      <c r="G243" s="286" t="s">
        <v>655</v>
      </c>
    </row>
    <row r="244" spans="1:7" s="236" customFormat="1" x14ac:dyDescent="0.2">
      <c r="A244" s="257">
        <v>41088</v>
      </c>
      <c r="B244" s="258">
        <v>0.84375</v>
      </c>
      <c r="C244" s="258">
        <v>0.9375</v>
      </c>
      <c r="D244" s="258">
        <f t="shared" si="9"/>
        <v>9.375E-2</v>
      </c>
      <c r="E244" s="247" t="s">
        <v>139</v>
      </c>
      <c r="F244" s="252" t="s">
        <v>524</v>
      </c>
      <c r="G244" s="286" t="s">
        <v>656</v>
      </c>
    </row>
    <row r="245" spans="1:7" s="236" customFormat="1" x14ac:dyDescent="0.2">
      <c r="A245" s="257">
        <v>41089</v>
      </c>
      <c r="B245" s="258">
        <v>0.9375</v>
      </c>
      <c r="C245" s="258">
        <v>4.1666666666666664E-2</v>
      </c>
      <c r="D245" s="258">
        <f t="shared" si="9"/>
        <v>0.10416666666666663</v>
      </c>
      <c r="E245" s="247" t="s">
        <v>139</v>
      </c>
      <c r="F245" s="252" t="s">
        <v>524</v>
      </c>
      <c r="G245" s="286" t="s">
        <v>657</v>
      </c>
    </row>
    <row r="246" spans="1:7" s="236" customFormat="1" x14ac:dyDescent="0.2">
      <c r="A246" s="257">
        <v>41119</v>
      </c>
      <c r="B246" s="258">
        <v>0.64583333333333337</v>
      </c>
      <c r="C246" s="258">
        <v>0.89583333333333337</v>
      </c>
      <c r="D246" s="258">
        <f t="shared" si="9"/>
        <v>0.25</v>
      </c>
      <c r="E246" s="247" t="s">
        <v>139</v>
      </c>
      <c r="F246" s="252" t="s">
        <v>524</v>
      </c>
      <c r="G246" s="286" t="s">
        <v>658</v>
      </c>
    </row>
    <row r="247" spans="1:7" s="236" customFormat="1" x14ac:dyDescent="0.2">
      <c r="A247" s="257">
        <v>41121</v>
      </c>
      <c r="B247" s="258">
        <v>0.79166666666666663</v>
      </c>
      <c r="C247" s="258">
        <v>8.3333333333333329E-2</v>
      </c>
      <c r="D247" s="258">
        <f t="shared" si="9"/>
        <v>0.29166666666666674</v>
      </c>
      <c r="E247" s="247" t="s">
        <v>139</v>
      </c>
      <c r="F247" s="252" t="s">
        <v>653</v>
      </c>
      <c r="G247" s="286" t="s">
        <v>654</v>
      </c>
    </row>
    <row r="248" spans="1:7" s="236" customFormat="1" x14ac:dyDescent="0.2">
      <c r="A248" s="257">
        <v>41153</v>
      </c>
      <c r="B248" s="258">
        <v>0.33333333333333331</v>
      </c>
      <c r="C248" s="258">
        <v>0</v>
      </c>
      <c r="D248" s="258">
        <f t="shared" si="9"/>
        <v>0.66666666666666674</v>
      </c>
      <c r="E248" s="247" t="s">
        <v>139</v>
      </c>
      <c r="F248" s="252" t="s">
        <v>626</v>
      </c>
      <c r="G248" s="286" t="s">
        <v>659</v>
      </c>
    </row>
    <row r="249" spans="1:7" s="236" customFormat="1" x14ac:dyDescent="0.2">
      <c r="A249" s="257">
        <v>41154</v>
      </c>
      <c r="B249" s="258">
        <v>0.33333333333333331</v>
      </c>
      <c r="C249" s="258">
        <v>0</v>
      </c>
      <c r="D249" s="258">
        <f t="shared" si="9"/>
        <v>0.66666666666666674</v>
      </c>
      <c r="E249" s="247" t="s">
        <v>139</v>
      </c>
      <c r="F249" s="252" t="s">
        <v>626</v>
      </c>
      <c r="G249" s="286" t="s">
        <v>659</v>
      </c>
    </row>
    <row r="250" spans="1:7" s="236" customFormat="1" x14ac:dyDescent="0.2">
      <c r="A250" s="257">
        <v>41155</v>
      </c>
      <c r="B250" s="258">
        <v>0.33333333333333331</v>
      </c>
      <c r="C250" s="258">
        <v>0</v>
      </c>
      <c r="D250" s="258">
        <f t="shared" si="9"/>
        <v>0.66666666666666674</v>
      </c>
      <c r="E250" s="247" t="s">
        <v>139</v>
      </c>
      <c r="F250" s="252" t="s">
        <v>626</v>
      </c>
      <c r="G250" s="286" t="s">
        <v>659</v>
      </c>
    </row>
    <row r="251" spans="1:7" s="236" customFormat="1" x14ac:dyDescent="0.2">
      <c r="A251" s="257">
        <v>41156</v>
      </c>
      <c r="B251" s="258">
        <v>0.33333333333333331</v>
      </c>
      <c r="C251" s="258">
        <v>0</v>
      </c>
      <c r="D251" s="258">
        <f t="shared" si="9"/>
        <v>0.66666666666666674</v>
      </c>
      <c r="E251" s="247" t="s">
        <v>139</v>
      </c>
      <c r="F251" s="252" t="s">
        <v>626</v>
      </c>
      <c r="G251" s="286" t="s">
        <v>659</v>
      </c>
    </row>
    <row r="252" spans="1:7" s="236" customFormat="1" x14ac:dyDescent="0.2">
      <c r="A252" s="257">
        <v>41157</v>
      </c>
      <c r="B252" s="258">
        <v>0.33333333333333331</v>
      </c>
      <c r="C252" s="258">
        <v>0</v>
      </c>
      <c r="D252" s="258">
        <f t="shared" si="9"/>
        <v>0.66666666666666674</v>
      </c>
      <c r="E252" s="247" t="s">
        <v>139</v>
      </c>
      <c r="F252" s="252" t="s">
        <v>626</v>
      </c>
      <c r="G252" s="286" t="s">
        <v>659</v>
      </c>
    </row>
    <row r="253" spans="1:7" s="236" customFormat="1" x14ac:dyDescent="0.2">
      <c r="A253" s="257">
        <v>41158</v>
      </c>
      <c r="B253" s="258">
        <v>0.33333333333333331</v>
      </c>
      <c r="C253" s="258">
        <v>0</v>
      </c>
      <c r="D253" s="258">
        <f t="shared" si="9"/>
        <v>0.66666666666666674</v>
      </c>
      <c r="E253" s="247" t="s">
        <v>139</v>
      </c>
      <c r="F253" s="252" t="s">
        <v>626</v>
      </c>
      <c r="G253" s="286" t="s">
        <v>659</v>
      </c>
    </row>
    <row r="254" spans="1:7" s="236" customFormat="1" x14ac:dyDescent="0.2">
      <c r="A254" s="257">
        <v>41159</v>
      </c>
      <c r="B254" s="258">
        <v>0.33333333333333331</v>
      </c>
      <c r="C254" s="258">
        <v>0</v>
      </c>
      <c r="D254" s="258">
        <f t="shared" si="9"/>
        <v>0.66666666666666674</v>
      </c>
      <c r="E254" s="247" t="s">
        <v>139</v>
      </c>
      <c r="F254" s="252" t="s">
        <v>626</v>
      </c>
      <c r="G254" s="286" t="s">
        <v>659</v>
      </c>
    </row>
    <row r="255" spans="1:7" s="236" customFormat="1" x14ac:dyDescent="0.2">
      <c r="A255" s="257">
        <v>41160</v>
      </c>
      <c r="B255" s="258">
        <v>0.33333333333333331</v>
      </c>
      <c r="C255" s="258">
        <v>0.83333333333333337</v>
      </c>
      <c r="D255" s="258">
        <f t="shared" si="9"/>
        <v>0.5</v>
      </c>
      <c r="E255" s="247" t="s">
        <v>139</v>
      </c>
      <c r="F255" s="252" t="s">
        <v>626</v>
      </c>
      <c r="G255" s="286" t="s">
        <v>659</v>
      </c>
    </row>
    <row r="256" spans="1:7" s="236" customFormat="1" x14ac:dyDescent="0.2">
      <c r="A256" s="257">
        <v>41180</v>
      </c>
      <c r="B256" s="258">
        <v>0.5625</v>
      </c>
      <c r="C256" s="258">
        <v>0.66666666666666663</v>
      </c>
      <c r="D256" s="258">
        <f t="shared" si="9"/>
        <v>0.10416666666666663</v>
      </c>
      <c r="E256" s="247"/>
      <c r="F256" s="252" t="s">
        <v>616</v>
      </c>
      <c r="G256" s="286" t="s">
        <v>669</v>
      </c>
    </row>
    <row r="257" spans="1:7" s="236" customFormat="1" x14ac:dyDescent="0.2">
      <c r="A257" s="257">
        <v>41182</v>
      </c>
      <c r="B257" s="258">
        <v>0.33333333333333331</v>
      </c>
      <c r="C257" s="258">
        <v>0.52083333333333337</v>
      </c>
      <c r="D257" s="258">
        <f t="shared" si="9"/>
        <v>0.18750000000000006</v>
      </c>
      <c r="E257" s="247" t="s">
        <v>139</v>
      </c>
      <c r="F257" s="252" t="s">
        <v>666</v>
      </c>
      <c r="G257" s="286" t="s">
        <v>667</v>
      </c>
    </row>
    <row r="258" spans="1:7" s="236" customFormat="1" x14ac:dyDescent="0.2">
      <c r="A258" s="257">
        <v>41183</v>
      </c>
      <c r="B258" s="258">
        <v>0.52083333333333337</v>
      </c>
      <c r="C258" s="258">
        <v>0.79166666666666663</v>
      </c>
      <c r="D258" s="258">
        <f t="shared" si="9"/>
        <v>0.27083333333333326</v>
      </c>
      <c r="E258" s="247" t="s">
        <v>139</v>
      </c>
      <c r="F258" s="252" t="s">
        <v>524</v>
      </c>
      <c r="G258" s="286" t="s">
        <v>668</v>
      </c>
    </row>
    <row r="259" spans="1:7" s="236" customFormat="1" x14ac:dyDescent="0.2">
      <c r="A259" s="257">
        <v>41189</v>
      </c>
      <c r="B259" s="258">
        <v>0.35416666666666669</v>
      </c>
      <c r="C259" s="258">
        <v>0.54166666666666663</v>
      </c>
      <c r="D259" s="258">
        <f t="shared" si="9"/>
        <v>0.18749999999999994</v>
      </c>
      <c r="E259" s="247" t="s">
        <v>139</v>
      </c>
      <c r="F259" s="252" t="s">
        <v>647</v>
      </c>
      <c r="G259" s="286" t="s">
        <v>665</v>
      </c>
    </row>
    <row r="260" spans="1:7" s="236" customFormat="1" x14ac:dyDescent="0.2">
      <c r="A260" s="257">
        <v>41202</v>
      </c>
      <c r="B260" s="258">
        <v>0.35416666666666669</v>
      </c>
      <c r="C260" s="258">
        <v>0.77083333333333337</v>
      </c>
      <c r="D260" s="258">
        <f t="shared" si="9"/>
        <v>0.41666666666666669</v>
      </c>
      <c r="E260" s="247" t="s">
        <v>139</v>
      </c>
      <c r="F260" s="252" t="s">
        <v>524</v>
      </c>
      <c r="G260" s="286" t="s">
        <v>664</v>
      </c>
    </row>
    <row r="261" spans="1:7" s="236" customFormat="1" x14ac:dyDescent="0.2">
      <c r="A261" s="257">
        <v>41209</v>
      </c>
      <c r="B261" s="258">
        <v>0.35416666666666669</v>
      </c>
      <c r="C261" s="259">
        <v>0.58333333333333337</v>
      </c>
      <c r="D261" s="258">
        <f t="shared" si="9"/>
        <v>0.22916666666666669</v>
      </c>
      <c r="E261" s="250" t="s">
        <v>278</v>
      </c>
      <c r="F261" s="252" t="s">
        <v>524</v>
      </c>
      <c r="G261" s="286" t="s">
        <v>663</v>
      </c>
    </row>
    <row r="262" spans="1:7" s="236" customFormat="1" x14ac:dyDescent="0.2">
      <c r="A262" s="257">
        <v>41210</v>
      </c>
      <c r="B262" s="258">
        <v>0.58333333333333337</v>
      </c>
      <c r="C262" s="259">
        <v>0.77083333333333337</v>
      </c>
      <c r="D262" s="258">
        <f t="shared" si="9"/>
        <v>0.1875</v>
      </c>
      <c r="E262" s="250" t="s">
        <v>278</v>
      </c>
      <c r="F262" s="252" t="s">
        <v>524</v>
      </c>
      <c r="G262" s="286" t="s">
        <v>663</v>
      </c>
    </row>
    <row r="263" spans="1:7" s="236" customFormat="1" x14ac:dyDescent="0.2">
      <c r="A263" s="257">
        <v>41211</v>
      </c>
      <c r="B263" s="258">
        <v>0.35416666666666669</v>
      </c>
      <c r="C263" s="259">
        <v>0.58333333333333337</v>
      </c>
      <c r="D263" s="258">
        <f t="shared" si="9"/>
        <v>0.22916666666666669</v>
      </c>
      <c r="E263" s="250" t="s">
        <v>278</v>
      </c>
      <c r="F263" s="252" t="s">
        <v>524</v>
      </c>
      <c r="G263" s="286" t="s">
        <v>663</v>
      </c>
    </row>
    <row r="264" spans="1:7" s="236" customFormat="1" x14ac:dyDescent="0.2">
      <c r="A264" s="257">
        <v>41212</v>
      </c>
      <c r="B264" s="258">
        <v>0.58333333333333337</v>
      </c>
      <c r="C264" s="259">
        <v>0.72916666666666663</v>
      </c>
      <c r="D264" s="258">
        <f t="shared" si="9"/>
        <v>0.14583333333333326</v>
      </c>
      <c r="E264" s="250" t="s">
        <v>278</v>
      </c>
      <c r="F264" s="252" t="s">
        <v>524</v>
      </c>
      <c r="G264" s="286" t="s">
        <v>663</v>
      </c>
    </row>
    <row r="265" spans="1:7" s="236" customFormat="1" x14ac:dyDescent="0.2">
      <c r="A265" s="257">
        <v>41212</v>
      </c>
      <c r="B265" s="258">
        <v>0.35416666666666669</v>
      </c>
      <c r="C265" s="259">
        <v>0.58333333333333337</v>
      </c>
      <c r="D265" s="258">
        <f t="shared" si="9"/>
        <v>0.22916666666666669</v>
      </c>
      <c r="E265" s="250" t="s">
        <v>278</v>
      </c>
      <c r="F265" s="252" t="s">
        <v>524</v>
      </c>
      <c r="G265" s="286" t="s">
        <v>663</v>
      </c>
    </row>
    <row r="266" spans="1:7" s="236" customFormat="1" x14ac:dyDescent="0.2">
      <c r="A266" s="257">
        <v>41213</v>
      </c>
      <c r="B266" s="258">
        <v>0.58333333333333337</v>
      </c>
      <c r="C266" s="259">
        <v>0.72916666666666663</v>
      </c>
      <c r="D266" s="258">
        <f t="shared" si="9"/>
        <v>0.14583333333333326</v>
      </c>
      <c r="E266" s="250" t="s">
        <v>278</v>
      </c>
      <c r="F266" s="252" t="s">
        <v>524</v>
      </c>
      <c r="G266" s="286" t="s">
        <v>663</v>
      </c>
    </row>
    <row r="267" spans="1:7" s="236" customFormat="1" x14ac:dyDescent="0.2">
      <c r="A267" s="257">
        <v>41213</v>
      </c>
      <c r="B267" s="258">
        <v>0.35416666666666669</v>
      </c>
      <c r="C267" s="259">
        <v>0.58333333333333337</v>
      </c>
      <c r="D267" s="258">
        <f t="shared" si="9"/>
        <v>0.22916666666666669</v>
      </c>
      <c r="E267" s="250" t="s">
        <v>278</v>
      </c>
      <c r="F267" s="252" t="s">
        <v>524</v>
      </c>
      <c r="G267" s="286" t="s">
        <v>663</v>
      </c>
    </row>
    <row r="268" spans="1:7" s="236" customFormat="1" x14ac:dyDescent="0.2">
      <c r="A268" s="257">
        <v>41214</v>
      </c>
      <c r="B268" s="258">
        <v>0.58333333333333337</v>
      </c>
      <c r="C268" s="259">
        <v>0.70833333333333337</v>
      </c>
      <c r="D268" s="258">
        <f t="shared" si="9"/>
        <v>0.125</v>
      </c>
      <c r="E268" s="250" t="s">
        <v>278</v>
      </c>
      <c r="F268" s="252" t="s">
        <v>524</v>
      </c>
      <c r="G268" s="286" t="s">
        <v>663</v>
      </c>
    </row>
    <row r="269" spans="1:7" s="236" customFormat="1" x14ac:dyDescent="0.2">
      <c r="A269" s="257">
        <v>41214</v>
      </c>
      <c r="B269" s="258">
        <v>0.35416666666666669</v>
      </c>
      <c r="C269" s="259">
        <v>0.58333333333333337</v>
      </c>
      <c r="D269" s="258">
        <f t="shared" si="9"/>
        <v>0.22916666666666669</v>
      </c>
      <c r="E269" s="250" t="s">
        <v>278</v>
      </c>
      <c r="F269" s="252" t="s">
        <v>524</v>
      </c>
      <c r="G269" s="286" t="s">
        <v>663</v>
      </c>
    </row>
    <row r="270" spans="1:7" s="236" customFormat="1" x14ac:dyDescent="0.2">
      <c r="A270" s="257">
        <v>41215</v>
      </c>
      <c r="B270" s="258">
        <v>0.58333333333333337</v>
      </c>
      <c r="C270" s="259">
        <v>0.77083333333333337</v>
      </c>
      <c r="D270" s="258">
        <f t="shared" si="9"/>
        <v>0.1875</v>
      </c>
      <c r="E270" s="250" t="s">
        <v>278</v>
      </c>
      <c r="F270" s="252" t="s">
        <v>524</v>
      </c>
      <c r="G270" s="286" t="s">
        <v>663</v>
      </c>
    </row>
    <row r="271" spans="1:7" s="236" customFormat="1" x14ac:dyDescent="0.2">
      <c r="A271" s="257">
        <v>41215</v>
      </c>
      <c r="B271" s="258">
        <v>0.35416666666666669</v>
      </c>
      <c r="C271" s="259">
        <v>0.58333333333333337</v>
      </c>
      <c r="D271" s="258">
        <f t="shared" si="9"/>
        <v>0.22916666666666669</v>
      </c>
      <c r="E271" s="250" t="s">
        <v>278</v>
      </c>
      <c r="F271" s="252" t="s">
        <v>524</v>
      </c>
      <c r="G271" s="286" t="s">
        <v>663</v>
      </c>
    </row>
    <row r="272" spans="1:7" s="236" customFormat="1" x14ac:dyDescent="0.2">
      <c r="A272" s="257">
        <v>41216</v>
      </c>
      <c r="B272" s="258">
        <v>0.58333333333333337</v>
      </c>
      <c r="C272" s="259">
        <v>0.77083333333333337</v>
      </c>
      <c r="D272" s="258">
        <f t="shared" si="9"/>
        <v>0.1875</v>
      </c>
      <c r="E272" s="250" t="s">
        <v>278</v>
      </c>
      <c r="F272" s="252" t="s">
        <v>524</v>
      </c>
      <c r="G272" s="286" t="s">
        <v>663</v>
      </c>
    </row>
    <row r="273" spans="1:7" s="236" customFormat="1" x14ac:dyDescent="0.2">
      <c r="A273" s="257">
        <v>41223</v>
      </c>
      <c r="B273" s="258">
        <v>0.34375</v>
      </c>
      <c r="C273" s="258">
        <v>0.59375</v>
      </c>
      <c r="D273" s="258">
        <f t="shared" si="9"/>
        <v>0.25</v>
      </c>
      <c r="E273" s="247"/>
      <c r="F273" s="252" t="s">
        <v>661</v>
      </c>
      <c r="G273" s="286" t="s">
        <v>662</v>
      </c>
    </row>
    <row r="274" spans="1:7" s="236" customFormat="1" x14ac:dyDescent="0.2">
      <c r="A274" s="257">
        <v>41241</v>
      </c>
      <c r="B274" s="258">
        <v>0.33333333333333331</v>
      </c>
      <c r="C274" s="258">
        <v>0.54166666666666663</v>
      </c>
      <c r="D274" s="258">
        <f t="shared" si="9"/>
        <v>0.20833333333333331</v>
      </c>
      <c r="E274" s="247" t="s">
        <v>139</v>
      </c>
      <c r="F274" s="252" t="s">
        <v>524</v>
      </c>
      <c r="G274" s="286" t="s">
        <v>906</v>
      </c>
    </row>
    <row r="275" spans="1:7" s="236" customFormat="1" x14ac:dyDescent="0.2">
      <c r="A275" s="257">
        <v>41349</v>
      </c>
      <c r="B275" s="258">
        <v>0.5625</v>
      </c>
      <c r="C275" s="258">
        <v>0.58333333333333337</v>
      </c>
      <c r="D275" s="258">
        <f t="shared" ref="D275:D306" si="10">MOD(C275-B275,1)</f>
        <v>2.083333333333337E-2</v>
      </c>
      <c r="E275" s="247"/>
      <c r="F275" s="252" t="s">
        <v>524</v>
      </c>
      <c r="G275" s="286" t="s">
        <v>598</v>
      </c>
    </row>
    <row r="276" spans="1:7" s="236" customFormat="1" x14ac:dyDescent="0.2">
      <c r="A276" s="257">
        <v>41350</v>
      </c>
      <c r="B276" s="258">
        <v>0.35416666666666669</v>
      </c>
      <c r="C276" s="258">
        <v>0.75</v>
      </c>
      <c r="D276" s="258">
        <f t="shared" si="10"/>
        <v>0.39583333333333331</v>
      </c>
      <c r="E276" s="247" t="s">
        <v>139</v>
      </c>
      <c r="F276" s="252" t="s">
        <v>524</v>
      </c>
      <c r="G276" s="286" t="s">
        <v>599</v>
      </c>
    </row>
    <row r="277" spans="1:7" s="236" customFormat="1" x14ac:dyDescent="0.2">
      <c r="A277" s="257">
        <v>41357</v>
      </c>
      <c r="B277" s="258">
        <v>0.33333333333333331</v>
      </c>
      <c r="C277" s="258">
        <v>0.52083333333333337</v>
      </c>
      <c r="D277" s="258">
        <f t="shared" si="10"/>
        <v>0.18750000000000006</v>
      </c>
      <c r="E277" s="247" t="s">
        <v>139</v>
      </c>
      <c r="F277" s="252" t="s">
        <v>524</v>
      </c>
      <c r="G277" s="286" t="s">
        <v>600</v>
      </c>
    </row>
    <row r="278" spans="1:7" s="236" customFormat="1" x14ac:dyDescent="0.2">
      <c r="A278" s="257">
        <v>41384</v>
      </c>
      <c r="B278" s="258">
        <v>0.70833333333333337</v>
      </c>
      <c r="C278" s="258">
        <v>0.98958333333333337</v>
      </c>
      <c r="D278" s="258">
        <f t="shared" si="10"/>
        <v>0.28125</v>
      </c>
      <c r="E278" s="247" t="s">
        <v>139</v>
      </c>
      <c r="F278" s="252" t="s">
        <v>524</v>
      </c>
      <c r="G278" s="286" t="s">
        <v>601</v>
      </c>
    </row>
    <row r="279" spans="1:7" s="236" customFormat="1" x14ac:dyDescent="0.2">
      <c r="A279" s="257">
        <v>41395</v>
      </c>
      <c r="B279" s="258">
        <v>0.3125</v>
      </c>
      <c r="C279" s="258">
        <v>0.54166666666666663</v>
      </c>
      <c r="D279" s="258">
        <f t="shared" si="10"/>
        <v>0.22916666666666663</v>
      </c>
      <c r="E279" s="247" t="s">
        <v>139</v>
      </c>
      <c r="F279" s="252" t="s">
        <v>524</v>
      </c>
      <c r="G279" s="286" t="s">
        <v>602</v>
      </c>
    </row>
    <row r="280" spans="1:7" s="236" customFormat="1" x14ac:dyDescent="0.2">
      <c r="A280" s="257">
        <v>41412</v>
      </c>
      <c r="B280" s="258">
        <v>0.3125</v>
      </c>
      <c r="C280" s="258">
        <v>0.83333333333333337</v>
      </c>
      <c r="D280" s="258">
        <f t="shared" si="10"/>
        <v>0.52083333333333337</v>
      </c>
      <c r="E280" s="247" t="s">
        <v>139</v>
      </c>
      <c r="F280" s="252" t="s">
        <v>594</v>
      </c>
      <c r="G280" s="286" t="s">
        <v>603</v>
      </c>
    </row>
    <row r="281" spans="1:7" s="236" customFormat="1" x14ac:dyDescent="0.2">
      <c r="A281" s="257">
        <v>41418</v>
      </c>
      <c r="B281" s="258">
        <v>0.75</v>
      </c>
      <c r="C281" s="258">
        <v>0</v>
      </c>
      <c r="D281" s="258">
        <f t="shared" si="10"/>
        <v>0.25</v>
      </c>
      <c r="E281" s="247" t="s">
        <v>139</v>
      </c>
      <c r="F281" s="252" t="s">
        <v>524</v>
      </c>
      <c r="G281" s="286" t="s">
        <v>176</v>
      </c>
    </row>
    <row r="282" spans="1:7" s="236" customFormat="1" x14ac:dyDescent="0.2">
      <c r="A282" s="257">
        <v>41420</v>
      </c>
      <c r="B282" s="258">
        <v>0.33333333333333331</v>
      </c>
      <c r="C282" s="258">
        <v>0.73958333333333337</v>
      </c>
      <c r="D282" s="258">
        <f t="shared" si="10"/>
        <v>0.40625000000000006</v>
      </c>
      <c r="E282" s="247" t="s">
        <v>139</v>
      </c>
      <c r="F282" s="252" t="s">
        <v>595</v>
      </c>
      <c r="G282" s="286" t="s">
        <v>604</v>
      </c>
    </row>
    <row r="283" spans="1:7" s="236" customFormat="1" x14ac:dyDescent="0.2">
      <c r="A283" s="257">
        <v>41429</v>
      </c>
      <c r="B283" s="258">
        <v>0.35416666666666669</v>
      </c>
      <c r="C283" s="258">
        <v>0.4375</v>
      </c>
      <c r="D283" s="258">
        <f t="shared" si="10"/>
        <v>8.3333333333333315E-2</v>
      </c>
      <c r="E283" s="247"/>
      <c r="F283" s="252" t="s">
        <v>524</v>
      </c>
      <c r="G283" s="286" t="s">
        <v>605</v>
      </c>
    </row>
    <row r="284" spans="1:7" s="236" customFormat="1" x14ac:dyDescent="0.2">
      <c r="A284" s="257">
        <v>41430</v>
      </c>
      <c r="B284" s="258">
        <v>0.33333333333333331</v>
      </c>
      <c r="C284" s="258">
        <v>0.5</v>
      </c>
      <c r="D284" s="258">
        <f t="shared" si="10"/>
        <v>0.16666666666666669</v>
      </c>
      <c r="E284" s="247" t="s">
        <v>139</v>
      </c>
      <c r="F284" s="252" t="s">
        <v>524</v>
      </c>
      <c r="G284" s="286" t="s">
        <v>606</v>
      </c>
    </row>
    <row r="285" spans="1:7" s="236" customFormat="1" x14ac:dyDescent="0.2">
      <c r="A285" s="257">
        <v>41442</v>
      </c>
      <c r="B285" s="258">
        <v>0.72916666666666663</v>
      </c>
      <c r="C285" s="258">
        <v>0.9375</v>
      </c>
      <c r="D285" s="258">
        <f t="shared" si="10"/>
        <v>0.20833333333333337</v>
      </c>
      <c r="E285" s="247" t="s">
        <v>139</v>
      </c>
      <c r="F285" s="252" t="s">
        <v>524</v>
      </c>
      <c r="G285" s="286" t="s">
        <v>607</v>
      </c>
    </row>
    <row r="286" spans="1:7" s="236" customFormat="1" x14ac:dyDescent="0.2">
      <c r="A286" s="257">
        <v>41445</v>
      </c>
      <c r="B286" s="258">
        <v>0.75</v>
      </c>
      <c r="C286" s="258">
        <v>0.97916666666666663</v>
      </c>
      <c r="D286" s="258">
        <f t="shared" si="10"/>
        <v>0.22916666666666663</v>
      </c>
      <c r="E286" s="247" t="s">
        <v>244</v>
      </c>
      <c r="F286" s="252" t="s">
        <v>524</v>
      </c>
      <c r="G286" s="286" t="s">
        <v>185</v>
      </c>
    </row>
    <row r="287" spans="1:7" s="236" customFormat="1" x14ac:dyDescent="0.2">
      <c r="A287" s="257">
        <v>41448</v>
      </c>
      <c r="B287" s="258">
        <v>0.67708333333333337</v>
      </c>
      <c r="C287" s="258">
        <v>0.86458333333333337</v>
      </c>
      <c r="D287" s="258">
        <f t="shared" si="10"/>
        <v>0.1875</v>
      </c>
      <c r="E287" s="247" t="s">
        <v>244</v>
      </c>
      <c r="F287" s="252" t="s">
        <v>563</v>
      </c>
      <c r="G287" s="286" t="s">
        <v>608</v>
      </c>
    </row>
    <row r="288" spans="1:7" s="236" customFormat="1" x14ac:dyDescent="0.2">
      <c r="A288" s="257">
        <v>41448</v>
      </c>
      <c r="B288" s="258">
        <v>0.86458333333333337</v>
      </c>
      <c r="C288" s="258">
        <v>0.97916666666666663</v>
      </c>
      <c r="D288" s="258">
        <f t="shared" si="10"/>
        <v>0.11458333333333326</v>
      </c>
      <c r="E288" s="247" t="s">
        <v>244</v>
      </c>
      <c r="F288" s="252" t="s">
        <v>524</v>
      </c>
      <c r="G288" s="286" t="s">
        <v>583</v>
      </c>
    </row>
    <row r="289" spans="1:7" s="236" customFormat="1" x14ac:dyDescent="0.2">
      <c r="A289" s="257">
        <v>41489</v>
      </c>
      <c r="B289" s="258">
        <v>0.69791666666666663</v>
      </c>
      <c r="C289" s="258">
        <v>0.9375</v>
      </c>
      <c r="D289" s="258">
        <f t="shared" si="10"/>
        <v>0.23958333333333337</v>
      </c>
      <c r="E289" s="247" t="s">
        <v>244</v>
      </c>
      <c r="F289" s="252" t="s">
        <v>524</v>
      </c>
      <c r="G289" s="286" t="s">
        <v>609</v>
      </c>
    </row>
    <row r="290" spans="1:7" s="236" customFormat="1" x14ac:dyDescent="0.2">
      <c r="A290" s="257">
        <v>41490</v>
      </c>
      <c r="B290" s="258">
        <v>0.58333333333333337</v>
      </c>
      <c r="C290" s="258">
        <v>0.83333333333333337</v>
      </c>
      <c r="D290" s="258">
        <f t="shared" si="10"/>
        <v>0.25</v>
      </c>
      <c r="E290" s="247" t="s">
        <v>244</v>
      </c>
      <c r="F290" s="252" t="s">
        <v>524</v>
      </c>
      <c r="G290" s="286" t="s">
        <v>609</v>
      </c>
    </row>
    <row r="291" spans="1:7" s="236" customFormat="1" x14ac:dyDescent="0.2">
      <c r="A291" s="257">
        <v>41491</v>
      </c>
      <c r="B291" s="258">
        <v>0.65625</v>
      </c>
      <c r="C291" s="258">
        <v>0.80208333333333337</v>
      </c>
      <c r="D291" s="258">
        <f t="shared" si="10"/>
        <v>0.14583333333333337</v>
      </c>
      <c r="E291" s="247" t="s">
        <v>244</v>
      </c>
      <c r="F291" s="252" t="s">
        <v>524</v>
      </c>
      <c r="G291" s="286" t="s">
        <v>609</v>
      </c>
    </row>
    <row r="292" spans="1:7" s="236" customFormat="1" x14ac:dyDescent="0.2">
      <c r="A292" s="257">
        <v>41492</v>
      </c>
      <c r="B292" s="258">
        <v>0.65625</v>
      </c>
      <c r="C292" s="258">
        <v>0.84375</v>
      </c>
      <c r="D292" s="258">
        <f t="shared" si="10"/>
        <v>0.1875</v>
      </c>
      <c r="E292" s="247" t="s">
        <v>244</v>
      </c>
      <c r="F292" s="252" t="s">
        <v>524</v>
      </c>
      <c r="G292" s="286" t="s">
        <v>609</v>
      </c>
    </row>
    <row r="293" spans="1:7" s="236" customFormat="1" x14ac:dyDescent="0.2">
      <c r="A293" s="257">
        <v>41494</v>
      </c>
      <c r="B293" s="258">
        <v>0.29166666666666669</v>
      </c>
      <c r="C293" s="258">
        <v>0.63541666666666663</v>
      </c>
      <c r="D293" s="258">
        <f t="shared" si="10"/>
        <v>0.34374999999999994</v>
      </c>
      <c r="E293" s="247" t="s">
        <v>244</v>
      </c>
      <c r="F293" s="252" t="s">
        <v>524</v>
      </c>
      <c r="G293" s="286" t="s">
        <v>609</v>
      </c>
    </row>
    <row r="294" spans="1:7" s="236" customFormat="1" x14ac:dyDescent="0.2">
      <c r="A294" s="257">
        <v>41495</v>
      </c>
      <c r="B294" s="258">
        <v>0.28472222222222221</v>
      </c>
      <c r="C294" s="258">
        <v>0.53472222222222221</v>
      </c>
      <c r="D294" s="258">
        <f t="shared" si="10"/>
        <v>0.25</v>
      </c>
      <c r="E294" s="247" t="s">
        <v>244</v>
      </c>
      <c r="F294" s="252" t="s">
        <v>524</v>
      </c>
      <c r="G294" s="286" t="s">
        <v>609</v>
      </c>
    </row>
    <row r="295" spans="1:7" s="236" customFormat="1" x14ac:dyDescent="0.2">
      <c r="A295" s="257">
        <v>41496</v>
      </c>
      <c r="B295" s="258">
        <v>0.28472222222222221</v>
      </c>
      <c r="C295" s="258">
        <v>0.52083333333333337</v>
      </c>
      <c r="D295" s="258">
        <f t="shared" si="10"/>
        <v>0.23611111111111116</v>
      </c>
      <c r="E295" s="247" t="s">
        <v>244</v>
      </c>
      <c r="F295" s="252" t="s">
        <v>524</v>
      </c>
      <c r="G295" s="286" t="s">
        <v>609</v>
      </c>
    </row>
    <row r="296" spans="1:7" s="236" customFormat="1" x14ac:dyDescent="0.2">
      <c r="A296" s="257">
        <v>41497</v>
      </c>
      <c r="B296" s="258">
        <v>0.28472222222222221</v>
      </c>
      <c r="C296" s="258">
        <v>0.53472222222222221</v>
      </c>
      <c r="D296" s="258">
        <f t="shared" si="10"/>
        <v>0.25</v>
      </c>
      <c r="E296" s="247" t="s">
        <v>244</v>
      </c>
      <c r="F296" s="252" t="s">
        <v>524</v>
      </c>
      <c r="G296" s="286" t="s">
        <v>609</v>
      </c>
    </row>
    <row r="297" spans="1:7" s="236" customFormat="1" x14ac:dyDescent="0.2">
      <c r="A297" s="257">
        <v>41497</v>
      </c>
      <c r="B297" s="258">
        <v>0.70833333333333337</v>
      </c>
      <c r="C297" s="258">
        <v>0.95833333333333337</v>
      </c>
      <c r="D297" s="258">
        <f t="shared" si="10"/>
        <v>0.25</v>
      </c>
      <c r="E297" s="247" t="s">
        <v>244</v>
      </c>
      <c r="F297" s="252" t="s">
        <v>524</v>
      </c>
      <c r="G297" s="286" t="s">
        <v>609</v>
      </c>
    </row>
    <row r="298" spans="1:7" s="236" customFormat="1" x14ac:dyDescent="0.2">
      <c r="A298" s="257">
        <v>41516</v>
      </c>
      <c r="B298" s="258">
        <v>0.8125</v>
      </c>
      <c r="C298" s="258">
        <v>3.1944444444444449E-2</v>
      </c>
      <c r="D298" s="258">
        <f t="shared" si="10"/>
        <v>0.21944444444444444</v>
      </c>
      <c r="E298" s="247"/>
      <c r="F298" s="252" t="s">
        <v>596</v>
      </c>
      <c r="G298" s="286" t="s">
        <v>905</v>
      </c>
    </row>
    <row r="299" spans="1:7" s="236" customFormat="1" x14ac:dyDescent="0.2">
      <c r="A299" s="257">
        <v>41523</v>
      </c>
      <c r="B299" s="258">
        <v>0.3125</v>
      </c>
      <c r="C299" s="258">
        <v>0.76041666666666663</v>
      </c>
      <c r="D299" s="258">
        <f t="shared" si="10"/>
        <v>0.44791666666666663</v>
      </c>
      <c r="E299" s="247"/>
      <c r="F299" s="252" t="s">
        <v>539</v>
      </c>
      <c r="G299" s="286" t="s">
        <v>409</v>
      </c>
    </row>
    <row r="300" spans="1:7" s="236" customFormat="1" x14ac:dyDescent="0.2">
      <c r="A300" s="257">
        <v>41524</v>
      </c>
      <c r="B300" s="258">
        <v>0.3125</v>
      </c>
      <c r="C300" s="258">
        <v>0</v>
      </c>
      <c r="D300" s="258">
        <f t="shared" si="10"/>
        <v>0.6875</v>
      </c>
      <c r="E300" s="247"/>
      <c r="F300" s="252" t="s">
        <v>903</v>
      </c>
      <c r="G300" s="286" t="s">
        <v>900</v>
      </c>
    </row>
    <row r="301" spans="1:7" s="236" customFormat="1" x14ac:dyDescent="0.2">
      <c r="A301" s="257">
        <v>41525</v>
      </c>
      <c r="B301" s="258">
        <v>0.3125</v>
      </c>
      <c r="C301" s="258">
        <v>0.79166666666666663</v>
      </c>
      <c r="D301" s="258">
        <f t="shared" si="10"/>
        <v>0.47916666666666663</v>
      </c>
      <c r="E301" s="247"/>
      <c r="F301" s="252" t="s">
        <v>903</v>
      </c>
      <c r="G301" s="286" t="s">
        <v>900</v>
      </c>
    </row>
    <row r="302" spans="1:7" s="236" customFormat="1" x14ac:dyDescent="0.2">
      <c r="A302" s="257">
        <v>41533</v>
      </c>
      <c r="B302" s="258">
        <v>0.58333333333333337</v>
      </c>
      <c r="C302" s="258">
        <v>0.75</v>
      </c>
      <c r="D302" s="258">
        <f t="shared" si="10"/>
        <v>0.16666666666666663</v>
      </c>
      <c r="E302" s="247"/>
      <c r="F302" s="252" t="s">
        <v>524</v>
      </c>
      <c r="G302" s="286" t="s">
        <v>411</v>
      </c>
    </row>
    <row r="303" spans="1:7" s="236" customFormat="1" x14ac:dyDescent="0.2">
      <c r="A303" s="257">
        <v>41538</v>
      </c>
      <c r="B303" s="258">
        <v>0.26041666666666669</v>
      </c>
      <c r="C303" s="258">
        <v>0.35416666666666669</v>
      </c>
      <c r="D303" s="258">
        <f t="shared" si="10"/>
        <v>9.375E-2</v>
      </c>
      <c r="E303" s="247"/>
      <c r="F303" s="252" t="s">
        <v>610</v>
      </c>
      <c r="G303" s="286" t="s">
        <v>413</v>
      </c>
    </row>
    <row r="304" spans="1:7" s="236" customFormat="1" x14ac:dyDescent="0.2">
      <c r="A304" s="257">
        <v>41546</v>
      </c>
      <c r="B304" s="258">
        <v>0.35416666666666669</v>
      </c>
      <c r="C304" s="258">
        <v>0.77083333333333337</v>
      </c>
      <c r="D304" s="258">
        <f t="shared" si="10"/>
        <v>0.41666666666666669</v>
      </c>
      <c r="E304" s="247" t="s">
        <v>139</v>
      </c>
      <c r="F304" s="252" t="s">
        <v>524</v>
      </c>
      <c r="G304" s="286" t="s">
        <v>364</v>
      </c>
    </row>
    <row r="305" spans="1:7" s="236" customFormat="1" x14ac:dyDescent="0.2">
      <c r="A305" s="257">
        <v>41553</v>
      </c>
      <c r="B305" s="258">
        <v>0.61458333333333337</v>
      </c>
      <c r="C305" s="258">
        <v>0.78125</v>
      </c>
      <c r="D305" s="258">
        <f t="shared" si="10"/>
        <v>0.16666666666666663</v>
      </c>
      <c r="E305" s="247" t="s">
        <v>139</v>
      </c>
      <c r="F305" s="252" t="s">
        <v>524</v>
      </c>
      <c r="G305" s="286" t="s">
        <v>364</v>
      </c>
    </row>
    <row r="306" spans="1:7" s="236" customFormat="1" x14ac:dyDescent="0.2">
      <c r="A306" s="257">
        <v>41558</v>
      </c>
      <c r="B306" s="258">
        <v>0.6875</v>
      </c>
      <c r="C306" s="258">
        <v>0.83333333333333337</v>
      </c>
      <c r="D306" s="258">
        <f t="shared" si="10"/>
        <v>0.14583333333333337</v>
      </c>
      <c r="E306" s="247" t="s">
        <v>139</v>
      </c>
      <c r="F306" s="252" t="s">
        <v>539</v>
      </c>
      <c r="G306" s="286" t="s">
        <v>415</v>
      </c>
    </row>
    <row r="307" spans="1:7" s="236" customFormat="1" x14ac:dyDescent="0.2">
      <c r="A307" s="257">
        <v>41560</v>
      </c>
      <c r="B307" s="258">
        <v>0.3125</v>
      </c>
      <c r="C307" s="258">
        <v>0.54166666666666663</v>
      </c>
      <c r="D307" s="258">
        <f t="shared" ref="D307:D325" si="11">MOD(C307-B307,1)</f>
        <v>0.22916666666666663</v>
      </c>
      <c r="E307" s="247" t="s">
        <v>139</v>
      </c>
      <c r="F307" s="252" t="s">
        <v>611</v>
      </c>
      <c r="G307" s="286" t="s">
        <v>416</v>
      </c>
    </row>
    <row r="308" spans="1:7" s="236" customFormat="1" x14ac:dyDescent="0.2">
      <c r="A308" s="257">
        <v>41560</v>
      </c>
      <c r="B308" s="258">
        <v>0.61458333333333337</v>
      </c>
      <c r="C308" s="258">
        <v>0.79166666666666663</v>
      </c>
      <c r="D308" s="258">
        <f t="shared" si="11"/>
        <v>0.17708333333333326</v>
      </c>
      <c r="E308" s="247" t="s">
        <v>139</v>
      </c>
      <c r="F308" s="252" t="s">
        <v>524</v>
      </c>
      <c r="G308" s="286" t="s">
        <v>664</v>
      </c>
    </row>
    <row r="309" spans="1:7" s="236" customFormat="1" x14ac:dyDescent="0.2">
      <c r="A309" s="257">
        <v>41567</v>
      </c>
      <c r="B309" s="258">
        <v>0.60416666666666663</v>
      </c>
      <c r="C309" s="258">
        <v>0.79166666666666663</v>
      </c>
      <c r="D309" s="258">
        <f t="shared" si="11"/>
        <v>0.1875</v>
      </c>
      <c r="E309" s="247" t="s">
        <v>139</v>
      </c>
      <c r="F309" s="252" t="s">
        <v>524</v>
      </c>
      <c r="G309" s="286" t="s">
        <v>664</v>
      </c>
    </row>
    <row r="310" spans="1:7" s="236" customFormat="1" x14ac:dyDescent="0.2">
      <c r="A310" s="257">
        <v>41573</v>
      </c>
      <c r="B310" s="258">
        <v>0.35416666666666669</v>
      </c>
      <c r="C310" s="258">
        <v>0.54166666666666663</v>
      </c>
      <c r="D310" s="258">
        <f t="shared" si="11"/>
        <v>0.18749999999999994</v>
      </c>
      <c r="E310" s="247" t="s">
        <v>139</v>
      </c>
      <c r="F310" s="252" t="s">
        <v>524</v>
      </c>
      <c r="G310" s="286" t="s">
        <v>937</v>
      </c>
    </row>
    <row r="311" spans="1:7" s="236" customFormat="1" x14ac:dyDescent="0.2">
      <c r="A311" s="257">
        <v>41573</v>
      </c>
      <c r="B311" s="258">
        <v>0.54166666666666663</v>
      </c>
      <c r="C311" s="258">
        <v>0.77083333333333337</v>
      </c>
      <c r="D311" s="258">
        <f t="shared" si="11"/>
        <v>0.22916666666666674</v>
      </c>
      <c r="E311" s="247" t="s">
        <v>139</v>
      </c>
      <c r="F311" s="252" t="s">
        <v>524</v>
      </c>
      <c r="G311" s="286" t="s">
        <v>937</v>
      </c>
    </row>
    <row r="312" spans="1:7" s="236" customFormat="1" x14ac:dyDescent="0.2">
      <c r="A312" s="257">
        <v>41575</v>
      </c>
      <c r="B312" s="258">
        <v>0.35416666666666669</v>
      </c>
      <c r="C312" s="258">
        <v>0.54166666666666663</v>
      </c>
      <c r="D312" s="258">
        <f t="shared" si="11"/>
        <v>0.18749999999999994</v>
      </c>
      <c r="E312" s="247" t="s">
        <v>139</v>
      </c>
      <c r="F312" s="252" t="s">
        <v>524</v>
      </c>
      <c r="G312" s="286" t="s">
        <v>937</v>
      </c>
    </row>
    <row r="313" spans="1:7" s="236" customFormat="1" x14ac:dyDescent="0.2">
      <c r="A313" s="257">
        <v>41575</v>
      </c>
      <c r="B313" s="258">
        <v>0.54166666666666663</v>
      </c>
      <c r="C313" s="258">
        <v>0.77083333333333337</v>
      </c>
      <c r="D313" s="258">
        <f t="shared" si="11"/>
        <v>0.22916666666666674</v>
      </c>
      <c r="E313" s="247" t="s">
        <v>139</v>
      </c>
      <c r="F313" s="252" t="s">
        <v>524</v>
      </c>
      <c r="G313" s="286" t="s">
        <v>937</v>
      </c>
    </row>
    <row r="314" spans="1:7" s="236" customFormat="1" x14ac:dyDescent="0.2">
      <c r="A314" s="257">
        <v>41576</v>
      </c>
      <c r="B314" s="258">
        <v>0.35416666666666669</v>
      </c>
      <c r="C314" s="258">
        <v>0.54166666666666663</v>
      </c>
      <c r="D314" s="258">
        <f t="shared" si="11"/>
        <v>0.18749999999999994</v>
      </c>
      <c r="E314" s="247" t="s">
        <v>139</v>
      </c>
      <c r="F314" s="252" t="s">
        <v>524</v>
      </c>
      <c r="G314" s="286" t="s">
        <v>937</v>
      </c>
    </row>
    <row r="315" spans="1:7" s="236" customFormat="1" x14ac:dyDescent="0.2">
      <c r="A315" s="257">
        <v>41576</v>
      </c>
      <c r="B315" s="258">
        <v>0.54166666666666663</v>
      </c>
      <c r="C315" s="258">
        <v>0.77083333333333337</v>
      </c>
      <c r="D315" s="258">
        <f t="shared" si="11"/>
        <v>0.22916666666666674</v>
      </c>
      <c r="E315" s="247" t="s">
        <v>139</v>
      </c>
      <c r="F315" s="252" t="s">
        <v>524</v>
      </c>
      <c r="G315" s="286" t="s">
        <v>937</v>
      </c>
    </row>
    <row r="316" spans="1:7" s="236" customFormat="1" x14ac:dyDescent="0.2">
      <c r="A316" s="257">
        <v>41577</v>
      </c>
      <c r="B316" s="258">
        <v>0.35416666666666669</v>
      </c>
      <c r="C316" s="258">
        <v>0.54166666666666663</v>
      </c>
      <c r="D316" s="258">
        <f t="shared" si="11"/>
        <v>0.18749999999999994</v>
      </c>
      <c r="E316" s="247" t="s">
        <v>139</v>
      </c>
      <c r="F316" s="252" t="s">
        <v>524</v>
      </c>
      <c r="G316" s="286" t="s">
        <v>937</v>
      </c>
    </row>
    <row r="317" spans="1:7" s="236" customFormat="1" x14ac:dyDescent="0.2">
      <c r="A317" s="257">
        <v>41577</v>
      </c>
      <c r="B317" s="258">
        <v>0.54166666666666663</v>
      </c>
      <c r="C317" s="258">
        <v>0.77083333333333337</v>
      </c>
      <c r="D317" s="258">
        <f t="shared" si="11"/>
        <v>0.22916666666666674</v>
      </c>
      <c r="E317" s="247" t="s">
        <v>139</v>
      </c>
      <c r="F317" s="252" t="s">
        <v>524</v>
      </c>
      <c r="G317" s="286" t="s">
        <v>937</v>
      </c>
    </row>
    <row r="318" spans="1:7" s="236" customFormat="1" x14ac:dyDescent="0.2">
      <c r="A318" s="257">
        <v>41578</v>
      </c>
      <c r="B318" s="258">
        <v>0.35416666666666669</v>
      </c>
      <c r="C318" s="258">
        <v>0.54166666666666663</v>
      </c>
      <c r="D318" s="258">
        <f t="shared" si="11"/>
        <v>0.18749999999999994</v>
      </c>
      <c r="E318" s="247" t="s">
        <v>139</v>
      </c>
      <c r="F318" s="252" t="s">
        <v>524</v>
      </c>
      <c r="G318" s="286" t="s">
        <v>937</v>
      </c>
    </row>
    <row r="319" spans="1:7" s="236" customFormat="1" x14ac:dyDescent="0.2">
      <c r="A319" s="257">
        <v>41578</v>
      </c>
      <c r="B319" s="258">
        <v>0.54166666666666663</v>
      </c>
      <c r="C319" s="258">
        <v>0.77083333333333337</v>
      </c>
      <c r="D319" s="258">
        <f t="shared" si="11"/>
        <v>0.22916666666666674</v>
      </c>
      <c r="E319" s="247" t="s">
        <v>139</v>
      </c>
      <c r="F319" s="252" t="s">
        <v>524</v>
      </c>
      <c r="G319" s="286" t="s">
        <v>937</v>
      </c>
    </row>
    <row r="320" spans="1:7" s="236" customFormat="1" x14ac:dyDescent="0.2">
      <c r="A320" s="257">
        <v>41579</v>
      </c>
      <c r="B320" s="258">
        <v>0.35416666666666669</v>
      </c>
      <c r="C320" s="258">
        <v>0.54166666666666663</v>
      </c>
      <c r="D320" s="258">
        <f t="shared" si="11"/>
        <v>0.18749999999999994</v>
      </c>
      <c r="E320" s="247" t="s">
        <v>139</v>
      </c>
      <c r="F320" s="252" t="s">
        <v>524</v>
      </c>
      <c r="G320" s="286" t="s">
        <v>937</v>
      </c>
    </row>
    <row r="321" spans="1:7" s="236" customFormat="1" x14ac:dyDescent="0.2">
      <c r="A321" s="257">
        <v>41579</v>
      </c>
      <c r="B321" s="258">
        <v>0.54166666666666663</v>
      </c>
      <c r="C321" s="258">
        <v>0.77083333333333337</v>
      </c>
      <c r="D321" s="258">
        <f t="shared" si="11"/>
        <v>0.22916666666666674</v>
      </c>
      <c r="E321" s="247" t="s">
        <v>139</v>
      </c>
      <c r="F321" s="252" t="s">
        <v>524</v>
      </c>
      <c r="G321" s="286" t="s">
        <v>937</v>
      </c>
    </row>
    <row r="322" spans="1:7" s="236" customFormat="1" x14ac:dyDescent="0.2">
      <c r="A322" s="257">
        <v>41580</v>
      </c>
      <c r="B322" s="258">
        <v>0.35416666666666669</v>
      </c>
      <c r="C322" s="258">
        <v>0.54166666666666663</v>
      </c>
      <c r="D322" s="258">
        <f t="shared" si="11"/>
        <v>0.18749999999999994</v>
      </c>
      <c r="E322" s="247" t="s">
        <v>139</v>
      </c>
      <c r="F322" s="252" t="s">
        <v>524</v>
      </c>
      <c r="G322" s="286" t="s">
        <v>937</v>
      </c>
    </row>
    <row r="323" spans="1:7" s="236" customFormat="1" x14ac:dyDescent="0.2">
      <c r="A323" s="257">
        <v>41580</v>
      </c>
      <c r="B323" s="258">
        <v>0.54166666666666663</v>
      </c>
      <c r="C323" s="258">
        <v>0.77083333333333337</v>
      </c>
      <c r="D323" s="258">
        <f t="shared" si="11"/>
        <v>0.22916666666666674</v>
      </c>
      <c r="E323" s="247" t="s">
        <v>139</v>
      </c>
      <c r="F323" s="252" t="s">
        <v>524</v>
      </c>
      <c r="G323" s="286" t="s">
        <v>937</v>
      </c>
    </row>
    <row r="324" spans="1:7" s="236" customFormat="1" x14ac:dyDescent="0.2">
      <c r="A324" s="257">
        <v>41594</v>
      </c>
      <c r="B324" s="258">
        <v>0.33333333333333331</v>
      </c>
      <c r="C324" s="258">
        <v>0.5625</v>
      </c>
      <c r="D324" s="258">
        <f t="shared" si="11"/>
        <v>0.22916666666666669</v>
      </c>
      <c r="E324" s="247" t="s">
        <v>139</v>
      </c>
      <c r="F324" s="252" t="s">
        <v>612</v>
      </c>
      <c r="G324" s="286" t="s">
        <v>613</v>
      </c>
    </row>
    <row r="325" spans="1:7" s="236" customFormat="1" x14ac:dyDescent="0.2">
      <c r="A325" s="257">
        <v>41602</v>
      </c>
      <c r="B325" s="258">
        <v>0.33333333333333331</v>
      </c>
      <c r="C325" s="258">
        <v>0.65625</v>
      </c>
      <c r="D325" s="258">
        <f t="shared" si="11"/>
        <v>0.32291666666666669</v>
      </c>
      <c r="E325" s="247" t="s">
        <v>139</v>
      </c>
      <c r="F325" s="252" t="s">
        <v>797</v>
      </c>
      <c r="G325" s="286" t="s">
        <v>615</v>
      </c>
    </row>
    <row r="326" spans="1:7" s="236" customFormat="1" x14ac:dyDescent="0.2">
      <c r="A326" s="257">
        <v>41647</v>
      </c>
      <c r="B326" s="258">
        <v>0.41666666666666669</v>
      </c>
      <c r="C326" s="258">
        <v>0.5</v>
      </c>
      <c r="D326" s="258">
        <f t="shared" ref="D326:D347" si="12">MOD(C326-B326,1)</f>
        <v>8.3333333333333315E-2</v>
      </c>
      <c r="E326" s="249"/>
      <c r="F326" s="252" t="s">
        <v>524</v>
      </c>
      <c r="G326" s="286" t="s">
        <v>426</v>
      </c>
    </row>
    <row r="327" spans="1:7" s="236" customFormat="1" x14ac:dyDescent="0.2">
      <c r="A327" s="257">
        <v>41668</v>
      </c>
      <c r="B327" s="258">
        <v>0.64583333333333337</v>
      </c>
      <c r="C327" s="258">
        <v>0.875</v>
      </c>
      <c r="D327" s="258">
        <f t="shared" si="12"/>
        <v>0.22916666666666663</v>
      </c>
      <c r="E327" s="249"/>
      <c r="F327" s="252" t="s">
        <v>524</v>
      </c>
      <c r="G327" s="286" t="s">
        <v>454</v>
      </c>
    </row>
    <row r="328" spans="1:7" s="236" customFormat="1" x14ac:dyDescent="0.2">
      <c r="A328" s="257">
        <v>41673</v>
      </c>
      <c r="B328" s="258">
        <v>0.8125</v>
      </c>
      <c r="C328" s="258">
        <v>0.89583333333333337</v>
      </c>
      <c r="D328" s="258">
        <f t="shared" si="12"/>
        <v>8.333333333333337E-2</v>
      </c>
      <c r="E328" s="249"/>
      <c r="F328" s="252" t="s">
        <v>524</v>
      </c>
      <c r="G328" s="286" t="s">
        <v>429</v>
      </c>
    </row>
    <row r="329" spans="1:7" s="236" customFormat="1" x14ac:dyDescent="0.2">
      <c r="A329" s="257">
        <v>41706</v>
      </c>
      <c r="B329" s="258">
        <v>0.35416666666666669</v>
      </c>
      <c r="C329" s="258">
        <v>0.8125</v>
      </c>
      <c r="D329" s="258">
        <f t="shared" si="12"/>
        <v>0.45833333333333331</v>
      </c>
      <c r="E329" s="249"/>
      <c r="F329" s="252" t="s">
        <v>524</v>
      </c>
      <c r="G329" s="286" t="s">
        <v>581</v>
      </c>
    </row>
    <row r="330" spans="1:7" s="236" customFormat="1" x14ac:dyDescent="0.2">
      <c r="A330" s="257">
        <v>41754</v>
      </c>
      <c r="B330" s="258">
        <v>0.35416666666666669</v>
      </c>
      <c r="C330" s="258">
        <v>0.47916666666666669</v>
      </c>
      <c r="D330" s="258">
        <f t="shared" si="12"/>
        <v>0.125</v>
      </c>
      <c r="E330" s="249"/>
      <c r="F330" s="252" t="s">
        <v>524</v>
      </c>
      <c r="G330" s="286" t="s">
        <v>430</v>
      </c>
    </row>
    <row r="331" spans="1:7" s="236" customFormat="1" x14ac:dyDescent="0.2">
      <c r="A331" s="257">
        <v>41754</v>
      </c>
      <c r="B331" s="258">
        <v>0.60416666666666663</v>
      </c>
      <c r="C331" s="258">
        <v>0.8125</v>
      </c>
      <c r="D331" s="258">
        <f t="shared" si="12"/>
        <v>0.20833333333333337</v>
      </c>
      <c r="E331" s="249"/>
      <c r="F331" s="252" t="s">
        <v>524</v>
      </c>
      <c r="G331" s="286" t="s">
        <v>431</v>
      </c>
    </row>
    <row r="332" spans="1:7" s="236" customFormat="1" x14ac:dyDescent="0.2">
      <c r="A332" s="257">
        <v>41755</v>
      </c>
      <c r="B332" s="258">
        <v>0.60416666666666663</v>
      </c>
      <c r="C332" s="258">
        <v>0.8125</v>
      </c>
      <c r="D332" s="258">
        <f t="shared" si="12"/>
        <v>0.20833333333333337</v>
      </c>
      <c r="E332" s="249"/>
      <c r="F332" s="252" t="s">
        <v>524</v>
      </c>
      <c r="G332" s="286" t="s">
        <v>431</v>
      </c>
    </row>
    <row r="333" spans="1:7" s="236" customFormat="1" x14ac:dyDescent="0.2">
      <c r="A333" s="257">
        <v>41756</v>
      </c>
      <c r="B333" s="258">
        <v>0.60416666666666663</v>
      </c>
      <c r="C333" s="258">
        <v>0.8125</v>
      </c>
      <c r="D333" s="258">
        <f t="shared" si="12"/>
        <v>0.20833333333333337</v>
      </c>
      <c r="E333" s="249"/>
      <c r="F333" s="252" t="s">
        <v>524</v>
      </c>
      <c r="G333" s="286" t="s">
        <v>431</v>
      </c>
    </row>
    <row r="334" spans="1:7" s="236" customFormat="1" x14ac:dyDescent="0.2">
      <c r="A334" s="257">
        <v>41783</v>
      </c>
      <c r="B334" s="258">
        <v>0.58333333333333337</v>
      </c>
      <c r="C334" s="258">
        <v>0.83333333333333337</v>
      </c>
      <c r="D334" s="258">
        <f t="shared" si="12"/>
        <v>0.25</v>
      </c>
      <c r="E334" s="249"/>
      <c r="F334" s="252" t="s">
        <v>524</v>
      </c>
      <c r="G334" s="286" t="s">
        <v>592</v>
      </c>
    </row>
    <row r="335" spans="1:7" s="236" customFormat="1" x14ac:dyDescent="0.2">
      <c r="A335" s="257">
        <v>41799</v>
      </c>
      <c r="B335" s="258">
        <v>0.3125</v>
      </c>
      <c r="C335" s="258">
        <v>0.5</v>
      </c>
      <c r="D335" s="258">
        <f t="shared" si="12"/>
        <v>0.1875</v>
      </c>
      <c r="E335" s="249"/>
      <c r="F335" s="252" t="s">
        <v>524</v>
      </c>
      <c r="G335" s="286" t="s">
        <v>582</v>
      </c>
    </row>
    <row r="336" spans="1:7" s="236" customFormat="1" x14ac:dyDescent="0.2">
      <c r="A336" s="257">
        <v>41810</v>
      </c>
      <c r="B336" s="258">
        <v>0.79166666666666663</v>
      </c>
      <c r="C336" s="258">
        <v>0.95833333333333337</v>
      </c>
      <c r="D336" s="258">
        <f t="shared" si="12"/>
        <v>0.16666666666666674</v>
      </c>
      <c r="E336" s="249"/>
      <c r="F336" s="252" t="s">
        <v>524</v>
      </c>
      <c r="G336" s="286" t="s">
        <v>593</v>
      </c>
    </row>
    <row r="337" spans="1:7" s="236" customFormat="1" x14ac:dyDescent="0.2">
      <c r="A337" s="257">
        <v>41813</v>
      </c>
      <c r="B337" s="258">
        <v>0.69791666666666663</v>
      </c>
      <c r="C337" s="258">
        <v>0.97916666666666663</v>
      </c>
      <c r="D337" s="258">
        <f t="shared" si="12"/>
        <v>0.28125</v>
      </c>
      <c r="E337" s="249"/>
      <c r="F337" s="252" t="s">
        <v>524</v>
      </c>
      <c r="G337" s="286" t="s">
        <v>583</v>
      </c>
    </row>
    <row r="338" spans="1:7" s="236" customFormat="1" x14ac:dyDescent="0.2">
      <c r="A338" s="257">
        <v>41833</v>
      </c>
      <c r="B338" s="258">
        <v>0.66666666666666663</v>
      </c>
      <c r="C338" s="258">
        <v>0.875</v>
      </c>
      <c r="D338" s="258">
        <f t="shared" si="12"/>
        <v>0.20833333333333337</v>
      </c>
      <c r="E338" s="249"/>
      <c r="F338" s="252" t="s">
        <v>524</v>
      </c>
      <c r="G338" s="286" t="s">
        <v>584</v>
      </c>
    </row>
    <row r="339" spans="1:7" s="236" customFormat="1" x14ac:dyDescent="0.2">
      <c r="A339" s="257">
        <v>41834</v>
      </c>
      <c r="B339" s="258">
        <v>0.27083333333333331</v>
      </c>
      <c r="C339" s="258">
        <v>0</v>
      </c>
      <c r="D339" s="258">
        <f t="shared" si="12"/>
        <v>0.72916666666666674</v>
      </c>
      <c r="E339" s="249"/>
      <c r="F339" s="252" t="s">
        <v>524</v>
      </c>
      <c r="G339" s="286" t="s">
        <v>585</v>
      </c>
    </row>
    <row r="340" spans="1:7" s="236" customFormat="1" x14ac:dyDescent="0.2">
      <c r="A340" s="257">
        <v>41916</v>
      </c>
      <c r="B340" s="258">
        <v>0.58333333333333337</v>
      </c>
      <c r="C340" s="258">
        <v>0.72916666666666663</v>
      </c>
      <c r="D340" s="258">
        <f t="shared" si="12"/>
        <v>0.14583333333333326</v>
      </c>
      <c r="E340" s="249"/>
      <c r="F340" s="252" t="s">
        <v>586</v>
      </c>
      <c r="G340" s="286" t="s">
        <v>589</v>
      </c>
    </row>
    <row r="341" spans="1:7" s="236" customFormat="1" x14ac:dyDescent="0.2">
      <c r="A341" s="257">
        <v>41924</v>
      </c>
      <c r="B341" s="258">
        <v>0.625</v>
      </c>
      <c r="C341" s="258">
        <v>0.9375</v>
      </c>
      <c r="D341" s="258">
        <f t="shared" si="12"/>
        <v>0.3125</v>
      </c>
      <c r="E341" s="249"/>
      <c r="F341" s="252" t="s">
        <v>524</v>
      </c>
      <c r="G341" s="286" t="s">
        <v>444</v>
      </c>
    </row>
    <row r="342" spans="1:7" s="236" customFormat="1" x14ac:dyDescent="0.2">
      <c r="A342" s="257">
        <v>41929</v>
      </c>
      <c r="B342" s="258">
        <v>0.25</v>
      </c>
      <c r="C342" s="258">
        <v>0.97916666666666663</v>
      </c>
      <c r="D342" s="258">
        <f t="shared" si="12"/>
        <v>0.72916666666666663</v>
      </c>
      <c r="E342" s="249"/>
      <c r="F342" s="252" t="s">
        <v>587</v>
      </c>
      <c r="G342" s="286" t="s">
        <v>588</v>
      </c>
    </row>
    <row r="343" spans="1:7" s="236" customFormat="1" x14ac:dyDescent="0.2">
      <c r="A343" s="257">
        <v>41931</v>
      </c>
      <c r="B343" s="258">
        <v>0.375</v>
      </c>
      <c r="C343" s="258">
        <v>0.52083333333333337</v>
      </c>
      <c r="D343" s="258">
        <f t="shared" si="12"/>
        <v>0.14583333333333337</v>
      </c>
      <c r="E343" s="249" t="s">
        <v>907</v>
      </c>
      <c r="F343" s="252" t="s">
        <v>524</v>
      </c>
      <c r="G343" s="286" t="s">
        <v>590</v>
      </c>
    </row>
    <row r="344" spans="1:7" s="236" customFormat="1" x14ac:dyDescent="0.2">
      <c r="A344" s="257">
        <v>41937</v>
      </c>
      <c r="B344" s="258">
        <v>0.54166666666666663</v>
      </c>
      <c r="C344" s="258">
        <v>0.77083333333333337</v>
      </c>
      <c r="D344" s="258">
        <f t="shared" si="12"/>
        <v>0.22916666666666674</v>
      </c>
      <c r="E344" s="249"/>
      <c r="F344" s="252" t="s">
        <v>524</v>
      </c>
      <c r="G344" s="286" t="s">
        <v>580</v>
      </c>
    </row>
    <row r="345" spans="1:7" s="236" customFormat="1" x14ac:dyDescent="0.2">
      <c r="A345" s="257">
        <v>41943</v>
      </c>
      <c r="B345" s="258">
        <v>0.54166666666666663</v>
      </c>
      <c r="C345" s="258">
        <v>0.77083333333333337</v>
      </c>
      <c r="D345" s="258">
        <f t="shared" si="12"/>
        <v>0.22916666666666674</v>
      </c>
      <c r="E345" s="249"/>
      <c r="F345" s="252" t="s">
        <v>524</v>
      </c>
      <c r="G345" s="286" t="s">
        <v>580</v>
      </c>
    </row>
    <row r="346" spans="1:7" s="236" customFormat="1" x14ac:dyDescent="0.2">
      <c r="A346" s="257">
        <v>41945</v>
      </c>
      <c r="B346" s="258">
        <v>0.54166666666666663</v>
      </c>
      <c r="C346" s="258">
        <v>0.75</v>
      </c>
      <c r="D346" s="258">
        <f t="shared" si="12"/>
        <v>0.20833333333333337</v>
      </c>
      <c r="E346" s="249"/>
      <c r="F346" s="252" t="s">
        <v>524</v>
      </c>
      <c r="G346" s="286" t="s">
        <v>580</v>
      </c>
    </row>
    <row r="347" spans="1:7" s="236" customFormat="1" x14ac:dyDescent="0.2">
      <c r="A347" s="257">
        <v>41987</v>
      </c>
      <c r="B347" s="258">
        <v>0.375</v>
      </c>
      <c r="C347" s="258">
        <v>0.5625</v>
      </c>
      <c r="D347" s="258">
        <f t="shared" si="12"/>
        <v>0.1875</v>
      </c>
      <c r="E347" s="249"/>
      <c r="F347" s="252" t="s">
        <v>524</v>
      </c>
      <c r="G347" s="286" t="s">
        <v>591</v>
      </c>
    </row>
    <row r="348" spans="1:7" s="236" customFormat="1" x14ac:dyDescent="0.2">
      <c r="A348" s="257">
        <v>42009</v>
      </c>
      <c r="B348" s="258">
        <v>0.77083333333333337</v>
      </c>
      <c r="C348" s="258">
        <v>6.25E-2</v>
      </c>
      <c r="D348" s="258">
        <f t="shared" ref="D348:D367" si="13">MOD(C348-B348,1)</f>
        <v>0.29166666666666663</v>
      </c>
      <c r="E348" s="249"/>
      <c r="F348" s="253" t="s">
        <v>565</v>
      </c>
      <c r="G348" s="286" t="s">
        <v>566</v>
      </c>
    </row>
    <row r="349" spans="1:7" s="236" customFormat="1" x14ac:dyDescent="0.2">
      <c r="A349" s="257">
        <v>42049</v>
      </c>
      <c r="B349" s="258">
        <v>0.33333333333333331</v>
      </c>
      <c r="C349" s="258">
        <v>0.54166666666666663</v>
      </c>
      <c r="D349" s="258">
        <f t="shared" si="13"/>
        <v>0.20833333333333331</v>
      </c>
      <c r="E349" s="249"/>
      <c r="F349" s="253" t="s">
        <v>524</v>
      </c>
      <c r="G349" s="286" t="s">
        <v>456</v>
      </c>
    </row>
    <row r="350" spans="1:7" s="236" customFormat="1" x14ac:dyDescent="0.2">
      <c r="A350" s="257">
        <v>42092</v>
      </c>
      <c r="B350" s="258">
        <v>0.33333333333333331</v>
      </c>
      <c r="C350" s="258">
        <v>0.54166666666666663</v>
      </c>
      <c r="D350" s="258">
        <f t="shared" si="13"/>
        <v>0.20833333333333331</v>
      </c>
      <c r="E350" s="249"/>
      <c r="F350" s="253" t="s">
        <v>524</v>
      </c>
      <c r="G350" s="286" t="s">
        <v>908</v>
      </c>
    </row>
    <row r="351" spans="1:7" s="236" customFormat="1" x14ac:dyDescent="0.2">
      <c r="A351" s="257">
        <v>42094</v>
      </c>
      <c r="B351" s="258">
        <v>0.33333333333333331</v>
      </c>
      <c r="C351" s="258">
        <v>0.5</v>
      </c>
      <c r="D351" s="258">
        <f t="shared" si="13"/>
        <v>0.16666666666666669</v>
      </c>
      <c r="E351" s="249"/>
      <c r="F351" s="253" t="s">
        <v>524</v>
      </c>
      <c r="G351" s="286" t="s">
        <v>568</v>
      </c>
    </row>
    <row r="352" spans="1:7" s="236" customFormat="1" x14ac:dyDescent="0.2">
      <c r="A352" s="257">
        <v>42097</v>
      </c>
      <c r="B352" s="258">
        <v>0.79166666666666663</v>
      </c>
      <c r="C352" s="258">
        <v>0.95833333333333337</v>
      </c>
      <c r="D352" s="258">
        <f t="shared" si="13"/>
        <v>0.16666666666666674</v>
      </c>
      <c r="E352" s="249"/>
      <c r="F352" s="253" t="s">
        <v>524</v>
      </c>
      <c r="G352" s="286" t="s">
        <v>569</v>
      </c>
    </row>
    <row r="353" spans="1:7" s="236" customFormat="1" x14ac:dyDescent="0.2">
      <c r="A353" s="257">
        <v>42106</v>
      </c>
      <c r="B353" s="258">
        <v>0.33333333333333331</v>
      </c>
      <c r="C353" s="258">
        <v>0.5</v>
      </c>
      <c r="D353" s="258">
        <f t="shared" si="13"/>
        <v>0.16666666666666669</v>
      </c>
      <c r="E353" s="249"/>
      <c r="F353" s="253" t="s">
        <v>524</v>
      </c>
      <c r="G353" s="286" t="s">
        <v>570</v>
      </c>
    </row>
    <row r="354" spans="1:7" s="236" customFormat="1" x14ac:dyDescent="0.2">
      <c r="A354" s="257">
        <v>42119</v>
      </c>
      <c r="B354" s="258">
        <v>2.0833333333333332E-2</v>
      </c>
      <c r="C354" s="258">
        <v>0.33333333333333331</v>
      </c>
      <c r="D354" s="258">
        <f t="shared" si="13"/>
        <v>0.3125</v>
      </c>
      <c r="E354" s="249"/>
      <c r="F354" s="253" t="s">
        <v>524</v>
      </c>
      <c r="G354" s="286" t="s">
        <v>571</v>
      </c>
    </row>
    <row r="355" spans="1:7" s="236" customFormat="1" x14ac:dyDescent="0.2">
      <c r="A355" s="257">
        <v>42126</v>
      </c>
      <c r="B355" s="258">
        <v>1400</v>
      </c>
      <c r="C355" s="258">
        <v>0.83333333333333337</v>
      </c>
      <c r="D355" s="258">
        <f t="shared" si="13"/>
        <v>0.83333333333325754</v>
      </c>
      <c r="E355" s="249"/>
      <c r="F355" s="253" t="s">
        <v>524</v>
      </c>
      <c r="G355" s="286" t="s">
        <v>572</v>
      </c>
    </row>
    <row r="356" spans="1:7" s="236" customFormat="1" x14ac:dyDescent="0.2">
      <c r="A356" s="257">
        <v>42133</v>
      </c>
      <c r="B356" s="258">
        <v>0</v>
      </c>
      <c r="C356" s="258">
        <v>0.33333333333333331</v>
      </c>
      <c r="D356" s="258">
        <f t="shared" si="13"/>
        <v>0.33333333333333331</v>
      </c>
      <c r="E356" s="249"/>
      <c r="F356" s="253" t="s">
        <v>524</v>
      </c>
      <c r="G356" s="286" t="s">
        <v>573</v>
      </c>
    </row>
    <row r="357" spans="1:7" s="236" customFormat="1" x14ac:dyDescent="0.2">
      <c r="A357" s="257">
        <v>42138</v>
      </c>
      <c r="B357" s="258">
        <v>0.58333333333333337</v>
      </c>
      <c r="C357" s="258">
        <v>0.83333333333333337</v>
      </c>
      <c r="D357" s="258">
        <f t="shared" si="13"/>
        <v>0.25</v>
      </c>
      <c r="E357" s="249"/>
      <c r="F357" s="253" t="s">
        <v>524</v>
      </c>
      <c r="G357" s="286" t="s">
        <v>572</v>
      </c>
    </row>
    <row r="358" spans="1:7" s="236" customFormat="1" x14ac:dyDescent="0.2">
      <c r="A358" s="257">
        <v>42157</v>
      </c>
      <c r="B358" s="258">
        <v>0.75</v>
      </c>
      <c r="C358" s="258">
        <v>4.1666666666666664E-2</v>
      </c>
      <c r="D358" s="258">
        <f t="shared" si="13"/>
        <v>0.29166666666666663</v>
      </c>
      <c r="E358" s="249"/>
      <c r="F358" s="253" t="s">
        <v>524</v>
      </c>
      <c r="G358" s="286" t="s">
        <v>574</v>
      </c>
    </row>
    <row r="359" spans="1:7" s="236" customFormat="1" x14ac:dyDescent="0.2">
      <c r="A359" s="257">
        <v>42160</v>
      </c>
      <c r="B359" s="258">
        <v>0.3125</v>
      </c>
      <c r="C359" s="258">
        <v>0.52083333333333337</v>
      </c>
      <c r="D359" s="258">
        <f t="shared" si="13"/>
        <v>0.20833333333333337</v>
      </c>
      <c r="E359" s="249"/>
      <c r="F359" s="253" t="s">
        <v>524</v>
      </c>
      <c r="G359" s="286" t="s">
        <v>575</v>
      </c>
    </row>
    <row r="360" spans="1:7" s="236" customFormat="1" x14ac:dyDescent="0.2">
      <c r="A360" s="257">
        <v>42174</v>
      </c>
      <c r="B360" s="258">
        <v>0.75</v>
      </c>
      <c r="C360" s="258">
        <v>0.9375</v>
      </c>
      <c r="D360" s="258">
        <f t="shared" si="13"/>
        <v>0.1875</v>
      </c>
      <c r="E360" s="249"/>
      <c r="F360" s="253" t="s">
        <v>524</v>
      </c>
      <c r="G360" s="286" t="s">
        <v>576</v>
      </c>
    </row>
    <row r="361" spans="1:7" s="236" customFormat="1" x14ac:dyDescent="0.2">
      <c r="A361" s="257">
        <v>42176</v>
      </c>
      <c r="B361" s="258">
        <v>0.29166666666666669</v>
      </c>
      <c r="C361" s="258">
        <v>0.75</v>
      </c>
      <c r="D361" s="258">
        <f t="shared" si="13"/>
        <v>0.45833333333333331</v>
      </c>
      <c r="E361" s="249"/>
      <c r="F361" s="253" t="s">
        <v>524</v>
      </c>
      <c r="G361" s="286" t="s">
        <v>577</v>
      </c>
    </row>
    <row r="362" spans="1:7" s="236" customFormat="1" x14ac:dyDescent="0.2">
      <c r="A362" s="257">
        <v>42177</v>
      </c>
      <c r="B362" s="258">
        <v>0.54166666666666663</v>
      </c>
      <c r="C362" s="258">
        <v>0.70833333333333337</v>
      </c>
      <c r="D362" s="258">
        <f t="shared" si="13"/>
        <v>0.16666666666666674</v>
      </c>
      <c r="E362" s="249"/>
      <c r="F362" s="253" t="s">
        <v>524</v>
      </c>
      <c r="G362" s="286" t="s">
        <v>577</v>
      </c>
    </row>
    <row r="363" spans="1:7" s="236" customFormat="1" x14ac:dyDescent="0.2">
      <c r="A363" s="257">
        <v>42236</v>
      </c>
      <c r="B363" s="258">
        <v>0.375</v>
      </c>
      <c r="C363" s="258">
        <v>0.52083333333333337</v>
      </c>
      <c r="D363" s="258">
        <f t="shared" si="13"/>
        <v>0.14583333333333337</v>
      </c>
      <c r="E363" s="249"/>
      <c r="F363" s="253" t="s">
        <v>524</v>
      </c>
      <c r="G363" s="286" t="s">
        <v>578</v>
      </c>
    </row>
    <row r="364" spans="1:7" s="236" customFormat="1" x14ac:dyDescent="0.2">
      <c r="A364" s="257">
        <v>42284</v>
      </c>
      <c r="B364" s="258">
        <v>0.54166666666666663</v>
      </c>
      <c r="C364" s="258">
        <v>0.83333333333333337</v>
      </c>
      <c r="D364" s="258">
        <f t="shared" si="13"/>
        <v>0.29166666666666674</v>
      </c>
      <c r="E364" s="249"/>
      <c r="F364" s="253" t="s">
        <v>524</v>
      </c>
      <c r="G364" s="286" t="s">
        <v>579</v>
      </c>
    </row>
    <row r="365" spans="1:7" s="236" customFormat="1" x14ac:dyDescent="0.2">
      <c r="A365" s="257">
        <v>42287</v>
      </c>
      <c r="B365" s="258">
        <v>0.58333333333333337</v>
      </c>
      <c r="C365" s="258">
        <v>0.83333333333333337</v>
      </c>
      <c r="D365" s="258">
        <f t="shared" si="13"/>
        <v>0.25</v>
      </c>
      <c r="E365" s="249"/>
      <c r="F365" s="253" t="s">
        <v>524</v>
      </c>
      <c r="G365" s="286" t="s">
        <v>579</v>
      </c>
    </row>
    <row r="366" spans="1:7" s="236" customFormat="1" x14ac:dyDescent="0.2">
      <c r="A366" s="257">
        <v>42288</v>
      </c>
      <c r="B366" s="258">
        <v>0.58333333333333337</v>
      </c>
      <c r="C366" s="258">
        <v>0.83333333333333337</v>
      </c>
      <c r="D366" s="258">
        <f t="shared" si="13"/>
        <v>0.25</v>
      </c>
      <c r="E366" s="249"/>
      <c r="F366" s="253" t="s">
        <v>524</v>
      </c>
      <c r="G366" s="286" t="s">
        <v>579</v>
      </c>
    </row>
    <row r="367" spans="1:7" s="236" customFormat="1" x14ac:dyDescent="0.2">
      <c r="A367" s="257">
        <v>42301</v>
      </c>
      <c r="B367" s="258">
        <v>0.54166666666666663</v>
      </c>
      <c r="C367" s="258">
        <v>0.75</v>
      </c>
      <c r="D367" s="258">
        <f t="shared" si="13"/>
        <v>0.20833333333333337</v>
      </c>
      <c r="E367" s="249"/>
      <c r="F367" s="253" t="s">
        <v>524</v>
      </c>
      <c r="G367" s="286" t="s">
        <v>580</v>
      </c>
    </row>
    <row r="368" spans="1:7" s="236" customFormat="1" x14ac:dyDescent="0.2">
      <c r="A368" s="257">
        <v>42421</v>
      </c>
      <c r="B368" s="258">
        <v>0.22916666666666666</v>
      </c>
      <c r="C368" s="258">
        <v>0.875</v>
      </c>
      <c r="D368" s="258">
        <f t="shared" ref="D368:D396" si="14">MOD(C368-B368,1)</f>
        <v>0.64583333333333337</v>
      </c>
      <c r="E368" s="249"/>
      <c r="F368" s="252" t="s">
        <v>532</v>
      </c>
      <c r="G368" s="286" t="s">
        <v>540</v>
      </c>
    </row>
    <row r="369" spans="1:7" s="236" customFormat="1" x14ac:dyDescent="0.2">
      <c r="A369" s="257">
        <v>42424</v>
      </c>
      <c r="B369" s="258">
        <v>0.375</v>
      </c>
      <c r="C369" s="258">
        <v>0.63541666666666663</v>
      </c>
      <c r="D369" s="258">
        <f t="shared" si="14"/>
        <v>0.26041666666666663</v>
      </c>
      <c r="E369" s="249"/>
      <c r="F369" s="252" t="s">
        <v>524</v>
      </c>
      <c r="G369" s="286" t="s">
        <v>541</v>
      </c>
    </row>
    <row r="370" spans="1:7" s="236" customFormat="1" x14ac:dyDescent="0.2">
      <c r="A370" s="257">
        <v>42462</v>
      </c>
      <c r="B370" s="258">
        <v>0.58333333333333337</v>
      </c>
      <c r="C370" s="258">
        <v>0.83333333333333337</v>
      </c>
      <c r="D370" s="258">
        <f t="shared" si="14"/>
        <v>0.25</v>
      </c>
      <c r="E370" s="249"/>
      <c r="F370" s="252" t="s">
        <v>524</v>
      </c>
      <c r="G370" s="286" t="s">
        <v>542</v>
      </c>
    </row>
    <row r="371" spans="1:7" s="236" customFormat="1" x14ac:dyDescent="0.2">
      <c r="A371" s="257">
        <v>42463</v>
      </c>
      <c r="B371" s="258">
        <v>0.375</v>
      </c>
      <c r="C371" s="258">
        <v>0.5</v>
      </c>
      <c r="D371" s="258">
        <f t="shared" si="14"/>
        <v>0.125</v>
      </c>
      <c r="E371" s="249"/>
      <c r="F371" s="252" t="s">
        <v>524</v>
      </c>
      <c r="G371" s="286" t="s">
        <v>527</v>
      </c>
    </row>
    <row r="372" spans="1:7" s="236" customFormat="1" x14ac:dyDescent="0.2">
      <c r="A372" s="257">
        <v>42473</v>
      </c>
      <c r="B372" s="258">
        <v>0.33333333333333331</v>
      </c>
      <c r="C372" s="258">
        <v>0.75</v>
      </c>
      <c r="D372" s="258">
        <f t="shared" si="14"/>
        <v>0.41666666666666669</v>
      </c>
      <c r="E372" s="249"/>
      <c r="F372" s="252" t="s">
        <v>533</v>
      </c>
      <c r="G372" s="286" t="s">
        <v>543</v>
      </c>
    </row>
    <row r="373" spans="1:7" s="236" customFormat="1" x14ac:dyDescent="0.2">
      <c r="A373" s="257">
        <v>42476</v>
      </c>
      <c r="B373" s="258">
        <v>0.58333333333333337</v>
      </c>
      <c r="C373" s="258">
        <v>0.72916666666666663</v>
      </c>
      <c r="D373" s="258">
        <f t="shared" si="14"/>
        <v>0.14583333333333326</v>
      </c>
      <c r="E373" s="249"/>
      <c r="F373" s="252" t="s">
        <v>524</v>
      </c>
      <c r="G373" s="286" t="s">
        <v>544</v>
      </c>
    </row>
    <row r="374" spans="1:7" s="236" customFormat="1" x14ac:dyDescent="0.2">
      <c r="A374" s="257">
        <v>42491</v>
      </c>
      <c r="B374" s="258">
        <v>0.3125</v>
      </c>
      <c r="C374" s="258">
        <v>0.54166666666666663</v>
      </c>
      <c r="D374" s="258">
        <f t="shared" si="14"/>
        <v>0.22916666666666663</v>
      </c>
      <c r="E374" s="249"/>
      <c r="F374" s="252" t="s">
        <v>524</v>
      </c>
      <c r="G374" s="286" t="s">
        <v>545</v>
      </c>
    </row>
    <row r="375" spans="1:7" s="236" customFormat="1" x14ac:dyDescent="0.2">
      <c r="A375" s="257">
        <v>42498</v>
      </c>
      <c r="B375" s="258">
        <v>0.3125</v>
      </c>
      <c r="C375" s="258">
        <v>0.5</v>
      </c>
      <c r="D375" s="258">
        <f t="shared" si="14"/>
        <v>0.1875</v>
      </c>
      <c r="E375" s="249"/>
      <c r="F375" s="252" t="s">
        <v>538</v>
      </c>
      <c r="G375" s="286" t="s">
        <v>546</v>
      </c>
    </row>
    <row r="376" spans="1:7" s="236" customFormat="1" x14ac:dyDescent="0.2">
      <c r="A376" s="257">
        <v>42498</v>
      </c>
      <c r="B376" s="258">
        <v>0.54166666666666663</v>
      </c>
      <c r="C376" s="258">
        <v>0.79166666666666663</v>
      </c>
      <c r="D376" s="258">
        <f t="shared" si="14"/>
        <v>0.25</v>
      </c>
      <c r="E376" s="249"/>
      <c r="F376" s="252" t="s">
        <v>539</v>
      </c>
      <c r="G376" s="286" t="s">
        <v>547</v>
      </c>
    </row>
    <row r="377" spans="1:7" s="236" customFormat="1" x14ac:dyDescent="0.2">
      <c r="A377" s="257">
        <v>42501</v>
      </c>
      <c r="B377" s="258">
        <v>0.58333333333333337</v>
      </c>
      <c r="C377" s="258">
        <v>0.66666666666666663</v>
      </c>
      <c r="D377" s="258">
        <f t="shared" si="14"/>
        <v>8.3333333333333259E-2</v>
      </c>
      <c r="E377" s="249"/>
      <c r="F377" s="252" t="s">
        <v>534</v>
      </c>
      <c r="G377" s="286" t="s">
        <v>548</v>
      </c>
    </row>
    <row r="378" spans="1:7" s="236" customFormat="1" x14ac:dyDescent="0.2">
      <c r="A378" s="257">
        <v>42503</v>
      </c>
      <c r="B378" s="258">
        <v>0.91666666666666663</v>
      </c>
      <c r="C378" s="258">
        <v>0.125</v>
      </c>
      <c r="D378" s="258">
        <f t="shared" si="14"/>
        <v>0.20833333333333337</v>
      </c>
      <c r="E378" s="249"/>
      <c r="F378" s="252" t="s">
        <v>535</v>
      </c>
      <c r="G378" s="286" t="s">
        <v>549</v>
      </c>
    </row>
    <row r="379" spans="1:7" s="236" customFormat="1" x14ac:dyDescent="0.2">
      <c r="A379" s="257">
        <v>42504</v>
      </c>
      <c r="B379" s="258">
        <v>0.58333333333333337</v>
      </c>
      <c r="C379" s="258">
        <v>0.79166666666666663</v>
      </c>
      <c r="D379" s="258">
        <f t="shared" si="14"/>
        <v>0.20833333333333326</v>
      </c>
      <c r="E379" s="249"/>
      <c r="F379" s="252" t="s">
        <v>535</v>
      </c>
      <c r="G379" s="286" t="s">
        <v>549</v>
      </c>
    </row>
    <row r="380" spans="1:7" s="236" customFormat="1" x14ac:dyDescent="0.2">
      <c r="A380" s="257">
        <v>42505</v>
      </c>
      <c r="B380" s="258">
        <v>0.25</v>
      </c>
      <c r="C380" s="258">
        <v>0.96875</v>
      </c>
      <c r="D380" s="258">
        <f t="shared" si="14"/>
        <v>0.71875</v>
      </c>
      <c r="E380" s="249"/>
      <c r="F380" s="252" t="s">
        <v>535</v>
      </c>
      <c r="G380" s="286" t="s">
        <v>549</v>
      </c>
    </row>
    <row r="381" spans="1:7" s="236" customFormat="1" x14ac:dyDescent="0.2">
      <c r="A381" s="257">
        <v>42523</v>
      </c>
      <c r="B381" s="258">
        <v>0.60416666666666663</v>
      </c>
      <c r="C381" s="258">
        <v>4.1666666666666664E-2</v>
      </c>
      <c r="D381" s="258">
        <f t="shared" si="14"/>
        <v>0.4375</v>
      </c>
      <c r="E381" s="249"/>
      <c r="F381" s="252" t="s">
        <v>537</v>
      </c>
      <c r="G381" s="286" t="s">
        <v>550</v>
      </c>
    </row>
    <row r="382" spans="1:7" s="236" customFormat="1" x14ac:dyDescent="0.2">
      <c r="A382" s="257">
        <v>42524</v>
      </c>
      <c r="B382" s="258">
        <v>0.60416666666666663</v>
      </c>
      <c r="C382" s="258">
        <v>4.1666666666666664E-2</v>
      </c>
      <c r="D382" s="258">
        <f t="shared" si="14"/>
        <v>0.4375</v>
      </c>
      <c r="E382" s="249"/>
      <c r="F382" s="252" t="s">
        <v>537</v>
      </c>
      <c r="G382" s="286" t="s">
        <v>550</v>
      </c>
    </row>
    <row r="383" spans="1:7" s="236" customFormat="1" x14ac:dyDescent="0.2">
      <c r="A383" s="257">
        <v>42526</v>
      </c>
      <c r="B383" s="258">
        <v>0.375</v>
      </c>
      <c r="C383" s="258">
        <v>0.83333333333333337</v>
      </c>
      <c r="D383" s="258">
        <f t="shared" si="14"/>
        <v>0.45833333333333337</v>
      </c>
      <c r="E383" s="249"/>
      <c r="F383" s="252" t="s">
        <v>537</v>
      </c>
      <c r="G383" s="286" t="s">
        <v>550</v>
      </c>
    </row>
    <row r="384" spans="1:7" s="236" customFormat="1" x14ac:dyDescent="0.2">
      <c r="A384" s="257">
        <v>42536</v>
      </c>
      <c r="B384" s="258">
        <v>0.58333333333333337</v>
      </c>
      <c r="C384" s="258">
        <v>0.95833333333333337</v>
      </c>
      <c r="D384" s="258">
        <f t="shared" si="14"/>
        <v>0.375</v>
      </c>
      <c r="E384" s="249"/>
      <c r="F384" s="252" t="s">
        <v>536</v>
      </c>
      <c r="G384" s="286" t="s">
        <v>551</v>
      </c>
    </row>
    <row r="385" spans="1:7" s="236" customFormat="1" x14ac:dyDescent="0.2">
      <c r="A385" s="257">
        <v>42540</v>
      </c>
      <c r="B385" s="258">
        <v>0.21875</v>
      </c>
      <c r="C385" s="258">
        <v>0.71875</v>
      </c>
      <c r="D385" s="258">
        <f t="shared" si="14"/>
        <v>0.5</v>
      </c>
      <c r="E385" s="249"/>
      <c r="F385" s="252" t="s">
        <v>552</v>
      </c>
      <c r="G385" s="286" t="s">
        <v>553</v>
      </c>
    </row>
    <row r="386" spans="1:7" s="236" customFormat="1" x14ac:dyDescent="0.2">
      <c r="A386" s="257">
        <v>42541</v>
      </c>
      <c r="B386" s="258">
        <v>0.8125</v>
      </c>
      <c r="C386" s="258">
        <v>0.9375</v>
      </c>
      <c r="D386" s="258">
        <f t="shared" si="14"/>
        <v>0.125</v>
      </c>
      <c r="E386" s="249"/>
      <c r="F386" s="252" t="s">
        <v>524</v>
      </c>
      <c r="G386" s="286" t="s">
        <v>554</v>
      </c>
    </row>
    <row r="387" spans="1:7" s="236" customFormat="1" x14ac:dyDescent="0.2">
      <c r="A387" s="257">
        <v>42544</v>
      </c>
      <c r="B387" s="258">
        <v>0.6875</v>
      </c>
      <c r="C387" s="258">
        <v>0.97916666666666663</v>
      </c>
      <c r="D387" s="258">
        <f t="shared" si="14"/>
        <v>0.29166666666666663</v>
      </c>
      <c r="E387" s="249"/>
      <c r="F387" s="252" t="s">
        <v>524</v>
      </c>
      <c r="G387" s="286" t="s">
        <v>555</v>
      </c>
    </row>
    <row r="388" spans="1:7" s="236" customFormat="1" x14ac:dyDescent="0.2">
      <c r="A388" s="257">
        <v>42553</v>
      </c>
      <c r="B388" s="258">
        <v>0.375</v>
      </c>
      <c r="C388" s="258">
        <v>0.52083333333333337</v>
      </c>
      <c r="D388" s="258">
        <f t="shared" si="14"/>
        <v>0.14583333333333337</v>
      </c>
      <c r="E388" s="249"/>
      <c r="F388" s="252" t="s">
        <v>524</v>
      </c>
      <c r="G388" s="286" t="s">
        <v>556</v>
      </c>
    </row>
    <row r="389" spans="1:7" s="236" customFormat="1" x14ac:dyDescent="0.2">
      <c r="A389" s="257">
        <v>42554</v>
      </c>
      <c r="B389" s="258">
        <v>0.58333333333333337</v>
      </c>
      <c r="C389" s="258">
        <v>0.72916666666666663</v>
      </c>
      <c r="D389" s="258">
        <f t="shared" si="14"/>
        <v>0.14583333333333326</v>
      </c>
      <c r="E389" s="249"/>
      <c r="F389" s="252" t="s">
        <v>524</v>
      </c>
      <c r="G389" s="286" t="s">
        <v>557</v>
      </c>
    </row>
    <row r="390" spans="1:7" s="236" customFormat="1" x14ac:dyDescent="0.2">
      <c r="A390" s="257">
        <v>42554</v>
      </c>
      <c r="B390" s="258">
        <v>0.72916666666666663</v>
      </c>
      <c r="C390" s="258">
        <v>0.83333333333333337</v>
      </c>
      <c r="D390" s="258">
        <f t="shared" si="14"/>
        <v>0.10416666666666674</v>
      </c>
      <c r="E390" s="249"/>
      <c r="F390" s="252" t="s">
        <v>524</v>
      </c>
      <c r="G390" s="286" t="s">
        <v>556</v>
      </c>
    </row>
    <row r="391" spans="1:7" s="236" customFormat="1" x14ac:dyDescent="0.2">
      <c r="A391" s="257">
        <v>42555</v>
      </c>
      <c r="B391" s="258">
        <v>0.77083333333333337</v>
      </c>
      <c r="C391" s="258">
        <v>0.89583333333333337</v>
      </c>
      <c r="D391" s="258">
        <f t="shared" si="14"/>
        <v>0.125</v>
      </c>
      <c r="E391" s="249"/>
      <c r="F391" s="252" t="s">
        <v>524</v>
      </c>
      <c r="G391" s="286" t="s">
        <v>558</v>
      </c>
    </row>
    <row r="392" spans="1:7" s="236" customFormat="1" x14ac:dyDescent="0.2">
      <c r="A392" s="257">
        <v>42574</v>
      </c>
      <c r="B392" s="258">
        <v>0.375</v>
      </c>
      <c r="C392" s="258">
        <v>0.54166666666666663</v>
      </c>
      <c r="D392" s="258">
        <f t="shared" si="14"/>
        <v>0.16666666666666663</v>
      </c>
      <c r="E392" s="249"/>
      <c r="F392" s="252" t="s">
        <v>524</v>
      </c>
      <c r="G392" s="286" t="s">
        <v>559</v>
      </c>
    </row>
    <row r="393" spans="1:7" s="236" customFormat="1" x14ac:dyDescent="0.2">
      <c r="A393" s="257">
        <v>42583</v>
      </c>
      <c r="B393" s="258">
        <v>0.8125</v>
      </c>
      <c r="C393" s="258">
        <v>0</v>
      </c>
      <c r="D393" s="258">
        <f t="shared" si="14"/>
        <v>0.1875</v>
      </c>
      <c r="E393" s="249"/>
      <c r="F393" s="252" t="s">
        <v>524</v>
      </c>
      <c r="G393" s="286" t="s">
        <v>560</v>
      </c>
    </row>
    <row r="394" spans="1:7" s="236" customFormat="1" x14ac:dyDescent="0.2">
      <c r="A394" s="257">
        <v>42584</v>
      </c>
      <c r="B394" s="258">
        <v>0</v>
      </c>
      <c r="C394" s="258">
        <v>0.33333333333333331</v>
      </c>
      <c r="D394" s="258">
        <f t="shared" si="14"/>
        <v>0.33333333333333331</v>
      </c>
      <c r="E394" s="249"/>
      <c r="F394" s="252" t="s">
        <v>524</v>
      </c>
      <c r="G394" s="286" t="s">
        <v>560</v>
      </c>
    </row>
    <row r="395" spans="1:7" s="236" customFormat="1" x14ac:dyDescent="0.2">
      <c r="A395" s="257">
        <v>42613</v>
      </c>
      <c r="B395" s="258">
        <v>0.33333333333333331</v>
      </c>
      <c r="C395" s="258">
        <v>0.47916666666666669</v>
      </c>
      <c r="D395" s="258">
        <f t="shared" si="14"/>
        <v>0.14583333333333337</v>
      </c>
      <c r="E395" s="249"/>
      <c r="F395" s="252" t="s">
        <v>530</v>
      </c>
      <c r="G395" s="286" t="s">
        <v>561</v>
      </c>
    </row>
    <row r="396" spans="1:7" s="236" customFormat="1" x14ac:dyDescent="0.2">
      <c r="A396" s="257">
        <v>42624</v>
      </c>
      <c r="B396" s="258">
        <v>0.54166666666666663</v>
      </c>
      <c r="C396" s="258">
        <v>0.75</v>
      </c>
      <c r="D396" s="258">
        <f t="shared" si="14"/>
        <v>0.20833333333333337</v>
      </c>
      <c r="E396" s="249"/>
      <c r="F396" s="255" t="s">
        <v>563</v>
      </c>
      <c r="G396" s="286" t="s">
        <v>562</v>
      </c>
    </row>
    <row r="397" spans="1:7" s="236" customFormat="1" x14ac:dyDescent="0.2">
      <c r="A397" s="257">
        <v>42637</v>
      </c>
      <c r="B397" s="258">
        <v>0.75</v>
      </c>
      <c r="C397" s="258">
        <v>4.1666666666666664E-2</v>
      </c>
      <c r="D397" s="258">
        <v>0.29166666666666669</v>
      </c>
      <c r="E397" s="249"/>
      <c r="F397" s="255" t="s">
        <v>524</v>
      </c>
      <c r="G397" s="286" t="s">
        <v>564</v>
      </c>
    </row>
    <row r="398" spans="1:7" s="236" customFormat="1" x14ac:dyDescent="0.2">
      <c r="A398" s="257">
        <v>42820</v>
      </c>
      <c r="B398" s="258">
        <v>0.33333333333333331</v>
      </c>
      <c r="C398" s="258">
        <v>0.54166666666666663</v>
      </c>
      <c r="D398" s="258">
        <f t="shared" ref="D398:D429" si="15">MOD(C398-B398,1)</f>
        <v>0.20833333333333331</v>
      </c>
      <c r="E398" s="249"/>
      <c r="F398" s="252" t="s">
        <v>524</v>
      </c>
      <c r="G398" s="286" t="s">
        <v>525</v>
      </c>
    </row>
    <row r="399" spans="1:7" s="236" customFormat="1" x14ac:dyDescent="0.2">
      <c r="A399" s="257">
        <v>42825</v>
      </c>
      <c r="B399" s="258">
        <v>0.29166666666666669</v>
      </c>
      <c r="C399" s="258">
        <v>0.75</v>
      </c>
      <c r="D399" s="258">
        <f t="shared" si="15"/>
        <v>0.45833333333333331</v>
      </c>
      <c r="E399" s="249"/>
      <c r="F399" s="252" t="s">
        <v>530</v>
      </c>
      <c r="G399" s="286" t="s">
        <v>526</v>
      </c>
    </row>
    <row r="400" spans="1:7" s="236" customFormat="1" x14ac:dyDescent="0.2">
      <c r="A400" s="257">
        <v>42826</v>
      </c>
      <c r="B400" s="258">
        <v>0.29166666666666669</v>
      </c>
      <c r="C400" s="258">
        <v>0.72916666666666663</v>
      </c>
      <c r="D400" s="258">
        <f t="shared" si="15"/>
        <v>0.43749999999999994</v>
      </c>
      <c r="E400" s="249"/>
      <c r="F400" s="252" t="s">
        <v>530</v>
      </c>
      <c r="G400" s="286" t="s">
        <v>526</v>
      </c>
    </row>
    <row r="401" spans="1:7" s="236" customFormat="1" x14ac:dyDescent="0.2">
      <c r="A401" s="257">
        <v>42827</v>
      </c>
      <c r="B401" s="258">
        <v>0.3125</v>
      </c>
      <c r="C401" s="258">
        <v>0.5</v>
      </c>
      <c r="D401" s="258">
        <f t="shared" si="15"/>
        <v>0.1875</v>
      </c>
      <c r="E401" s="249"/>
      <c r="F401" s="252" t="s">
        <v>524</v>
      </c>
      <c r="G401" s="286" t="s">
        <v>600</v>
      </c>
    </row>
    <row r="402" spans="1:7" s="236" customFormat="1" x14ac:dyDescent="0.2">
      <c r="A402" s="257">
        <v>42832</v>
      </c>
      <c r="B402" s="258">
        <v>0.72916666666666663</v>
      </c>
      <c r="C402" s="258">
        <v>4.1666666666666664E-2</v>
      </c>
      <c r="D402" s="258">
        <f t="shared" si="15"/>
        <v>0.3125</v>
      </c>
      <c r="E402" s="249"/>
      <c r="F402" s="252" t="s">
        <v>531</v>
      </c>
      <c r="G402" s="286" t="s">
        <v>528</v>
      </c>
    </row>
    <row r="403" spans="1:7" s="236" customFormat="1" x14ac:dyDescent="0.2">
      <c r="A403" s="257">
        <v>42856</v>
      </c>
      <c r="B403" s="258">
        <v>0.33333333333333331</v>
      </c>
      <c r="C403" s="258">
        <v>0.5</v>
      </c>
      <c r="D403" s="258">
        <f t="shared" si="15"/>
        <v>0.16666666666666669</v>
      </c>
      <c r="E403" s="249"/>
      <c r="F403" s="252" t="s">
        <v>524</v>
      </c>
      <c r="G403" s="286" t="s">
        <v>670</v>
      </c>
    </row>
    <row r="404" spans="1:7" s="236" customFormat="1" x14ac:dyDescent="0.2">
      <c r="A404" s="257">
        <v>42863</v>
      </c>
      <c r="B404" s="258">
        <v>0.47916666666666669</v>
      </c>
      <c r="C404" s="258">
        <v>0.77083333333333337</v>
      </c>
      <c r="D404" s="258">
        <f t="shared" si="15"/>
        <v>0.29166666666666669</v>
      </c>
      <c r="E404" s="249"/>
      <c r="F404" s="252" t="s">
        <v>539</v>
      </c>
      <c r="G404" s="286" t="s">
        <v>671</v>
      </c>
    </row>
    <row r="405" spans="1:7" s="236" customFormat="1" x14ac:dyDescent="0.2">
      <c r="A405" s="257">
        <v>42867</v>
      </c>
      <c r="B405" s="258">
        <v>0.77083333333333337</v>
      </c>
      <c r="C405" s="258">
        <v>0.95833333333333337</v>
      </c>
      <c r="D405" s="258">
        <f t="shared" si="15"/>
        <v>0.1875</v>
      </c>
      <c r="E405" s="249"/>
      <c r="F405" s="252" t="s">
        <v>524</v>
      </c>
      <c r="G405" s="286" t="s">
        <v>677</v>
      </c>
    </row>
    <row r="406" spans="1:7" s="236" customFormat="1" x14ac:dyDescent="0.2">
      <c r="A406" s="257">
        <v>42869</v>
      </c>
      <c r="B406" s="258">
        <v>0.35416666666666669</v>
      </c>
      <c r="C406" s="258">
        <v>0.5625</v>
      </c>
      <c r="D406" s="258">
        <f t="shared" si="15"/>
        <v>0.20833333333333331</v>
      </c>
      <c r="E406" s="249"/>
      <c r="F406" s="252" t="s">
        <v>524</v>
      </c>
      <c r="G406" s="286" t="s">
        <v>673</v>
      </c>
    </row>
    <row r="407" spans="1:7" s="236" customFormat="1" x14ac:dyDescent="0.2">
      <c r="A407" s="257">
        <v>42873</v>
      </c>
      <c r="B407" s="258">
        <v>0.6875</v>
      </c>
      <c r="C407" s="258">
        <v>0.85416666666666663</v>
      </c>
      <c r="D407" s="258">
        <f t="shared" si="15"/>
        <v>0.16666666666666663</v>
      </c>
      <c r="E407" s="249"/>
      <c r="F407" s="252" t="s">
        <v>524</v>
      </c>
      <c r="G407" s="286" t="s">
        <v>684</v>
      </c>
    </row>
    <row r="408" spans="1:7" s="236" customFormat="1" x14ac:dyDescent="0.2">
      <c r="A408" s="257">
        <v>42875</v>
      </c>
      <c r="B408" s="258">
        <v>0.25</v>
      </c>
      <c r="C408" s="258">
        <v>0.54166666666666663</v>
      </c>
      <c r="D408" s="258">
        <f t="shared" si="15"/>
        <v>0.29166666666666663</v>
      </c>
      <c r="E408" s="249"/>
      <c r="F408" s="252" t="s">
        <v>625</v>
      </c>
      <c r="G408" s="286" t="s">
        <v>675</v>
      </c>
    </row>
    <row r="409" spans="1:7" s="236" customFormat="1" x14ac:dyDescent="0.2">
      <c r="A409" s="257">
        <v>42876</v>
      </c>
      <c r="B409" s="258">
        <v>0.29166666666666669</v>
      </c>
      <c r="C409" s="258">
        <v>0.58333333333333337</v>
      </c>
      <c r="D409" s="258">
        <f t="shared" si="15"/>
        <v>0.29166666666666669</v>
      </c>
      <c r="E409" s="249"/>
      <c r="F409" s="252" t="s">
        <v>625</v>
      </c>
      <c r="G409" s="286" t="s">
        <v>675</v>
      </c>
    </row>
    <row r="410" spans="1:7" s="236" customFormat="1" x14ac:dyDescent="0.2">
      <c r="A410" s="257">
        <v>42879</v>
      </c>
      <c r="B410" s="258">
        <v>0.80208333333333337</v>
      </c>
      <c r="C410" s="258">
        <v>1.0416666666666666E-2</v>
      </c>
      <c r="D410" s="258">
        <f t="shared" si="15"/>
        <v>0.20833333333333326</v>
      </c>
      <c r="E410" s="249"/>
      <c r="F410" s="252" t="s">
        <v>524</v>
      </c>
      <c r="G410" s="286" t="s">
        <v>679</v>
      </c>
    </row>
    <row r="411" spans="1:7" s="236" customFormat="1" x14ac:dyDescent="0.2">
      <c r="A411" s="257">
        <v>42880</v>
      </c>
      <c r="B411" s="258">
        <v>0.3125</v>
      </c>
      <c r="C411" s="258">
        <v>0.60416666666666663</v>
      </c>
      <c r="D411" s="258">
        <f t="shared" si="15"/>
        <v>0.29166666666666663</v>
      </c>
      <c r="E411" s="249"/>
      <c r="F411" s="252" t="s">
        <v>524</v>
      </c>
      <c r="G411" s="286" t="s">
        <v>681</v>
      </c>
    </row>
    <row r="412" spans="1:7" s="236" customFormat="1" x14ac:dyDescent="0.2">
      <c r="A412" s="257">
        <v>42883</v>
      </c>
      <c r="B412" s="258">
        <v>0.35416666666666669</v>
      </c>
      <c r="C412" s="258">
        <v>0.47916666666666669</v>
      </c>
      <c r="D412" s="258">
        <f t="shared" si="15"/>
        <v>0.125</v>
      </c>
      <c r="E412" s="249"/>
      <c r="F412" s="252" t="s">
        <v>524</v>
      </c>
      <c r="G412" s="286" t="s">
        <v>683</v>
      </c>
    </row>
    <row r="413" spans="1:7" s="236" customFormat="1" x14ac:dyDescent="0.2">
      <c r="A413" s="257">
        <v>42893</v>
      </c>
      <c r="B413" s="258">
        <v>0.5625</v>
      </c>
      <c r="C413" s="258">
        <v>0.85416666666666663</v>
      </c>
      <c r="D413" s="258">
        <f t="shared" si="15"/>
        <v>0.29166666666666663</v>
      </c>
      <c r="E413" s="249"/>
      <c r="F413" s="252" t="s">
        <v>524</v>
      </c>
      <c r="G413" s="286" t="s">
        <v>685</v>
      </c>
    </row>
    <row r="414" spans="1:7" s="236" customFormat="1" x14ac:dyDescent="0.2">
      <c r="A414" s="257">
        <v>42894</v>
      </c>
      <c r="B414" s="258">
        <v>0.5625</v>
      </c>
      <c r="C414" s="258">
        <v>0.85416666666666663</v>
      </c>
      <c r="D414" s="258">
        <f t="shared" si="15"/>
        <v>0.29166666666666663</v>
      </c>
      <c r="E414" s="249"/>
      <c r="F414" s="252" t="s">
        <v>524</v>
      </c>
      <c r="G414" s="286" t="s">
        <v>685</v>
      </c>
    </row>
    <row r="415" spans="1:7" s="236" customFormat="1" x14ac:dyDescent="0.2">
      <c r="A415" s="257">
        <v>42895</v>
      </c>
      <c r="B415" s="258">
        <v>0.5625</v>
      </c>
      <c r="C415" s="258">
        <v>0.85416666666666663</v>
      </c>
      <c r="D415" s="258">
        <f t="shared" si="15"/>
        <v>0.29166666666666663</v>
      </c>
      <c r="E415" s="249"/>
      <c r="F415" s="252" t="s">
        <v>524</v>
      </c>
      <c r="G415" s="286" t="s">
        <v>685</v>
      </c>
    </row>
    <row r="416" spans="1:7" s="236" customFormat="1" x14ac:dyDescent="0.2">
      <c r="A416" s="257">
        <v>42896</v>
      </c>
      <c r="B416" s="258">
        <v>0.5625</v>
      </c>
      <c r="C416" s="258">
        <v>0.77083333333333337</v>
      </c>
      <c r="D416" s="258">
        <f t="shared" si="15"/>
        <v>0.20833333333333337</v>
      </c>
      <c r="E416" s="249"/>
      <c r="F416" s="252" t="s">
        <v>524</v>
      </c>
      <c r="G416" s="286" t="s">
        <v>687</v>
      </c>
    </row>
    <row r="417" spans="1:7" s="236" customFormat="1" x14ac:dyDescent="0.2">
      <c r="A417" s="257">
        <v>42906</v>
      </c>
      <c r="B417" s="258">
        <v>0.79166666666666663</v>
      </c>
      <c r="C417" s="258">
        <v>0.9375</v>
      </c>
      <c r="D417" s="258">
        <f t="shared" si="15"/>
        <v>0.14583333333333337</v>
      </c>
      <c r="E417" s="249"/>
      <c r="F417" s="252" t="s">
        <v>524</v>
      </c>
      <c r="G417" s="286" t="s">
        <v>688</v>
      </c>
    </row>
    <row r="418" spans="1:7" s="236" customFormat="1" x14ac:dyDescent="0.2">
      <c r="A418" s="257">
        <v>42909</v>
      </c>
      <c r="B418" s="258">
        <v>0.6875</v>
      </c>
      <c r="C418" s="258">
        <v>0.9375</v>
      </c>
      <c r="D418" s="258">
        <f t="shared" si="15"/>
        <v>0.25</v>
      </c>
      <c r="E418" s="249"/>
      <c r="F418" s="252" t="s">
        <v>524</v>
      </c>
      <c r="G418" s="286" t="s">
        <v>690</v>
      </c>
    </row>
    <row r="419" spans="1:7" s="236" customFormat="1" x14ac:dyDescent="0.2">
      <c r="A419" s="257">
        <v>43008</v>
      </c>
      <c r="B419" s="258">
        <v>0.70833333333333337</v>
      </c>
      <c r="C419" s="258">
        <v>0.10416666666666667</v>
      </c>
      <c r="D419" s="258">
        <f t="shared" si="15"/>
        <v>0.39583333333333326</v>
      </c>
      <c r="E419" s="249"/>
      <c r="F419" s="252" t="s">
        <v>524</v>
      </c>
      <c r="G419" s="286" t="s">
        <v>692</v>
      </c>
    </row>
    <row r="420" spans="1:7" s="236" customFormat="1" x14ac:dyDescent="0.2">
      <c r="A420" s="257">
        <v>43023</v>
      </c>
      <c r="B420" s="258">
        <v>0.72916666666666663</v>
      </c>
      <c r="C420" s="258">
        <v>0.10416666666666667</v>
      </c>
      <c r="D420" s="258">
        <f t="shared" si="15"/>
        <v>0.375</v>
      </c>
      <c r="E420" s="249"/>
      <c r="F420" s="252" t="s">
        <v>524</v>
      </c>
      <c r="G420" s="286" t="s">
        <v>694</v>
      </c>
    </row>
    <row r="421" spans="1:7" s="236" customFormat="1" x14ac:dyDescent="0.2">
      <c r="A421" s="257">
        <v>43030</v>
      </c>
      <c r="B421" s="258">
        <v>0.3125</v>
      </c>
      <c r="C421" s="258">
        <v>0.45833333333333331</v>
      </c>
      <c r="D421" s="258">
        <f t="shared" si="15"/>
        <v>0.14583333333333331</v>
      </c>
      <c r="E421" s="249"/>
      <c r="F421" s="252" t="s">
        <v>524</v>
      </c>
      <c r="G421" s="286" t="s">
        <v>696</v>
      </c>
    </row>
    <row r="422" spans="1:7" s="236" customFormat="1" x14ac:dyDescent="0.2">
      <c r="A422" s="257">
        <v>43035</v>
      </c>
      <c r="B422" s="258">
        <v>0.66666666666666663</v>
      </c>
      <c r="C422" s="258">
        <v>0.875</v>
      </c>
      <c r="D422" s="258">
        <f t="shared" si="15"/>
        <v>0.20833333333333337</v>
      </c>
      <c r="E422" s="249"/>
      <c r="F422" s="252" t="s">
        <v>524</v>
      </c>
      <c r="G422" s="286" t="s">
        <v>698</v>
      </c>
    </row>
    <row r="423" spans="1:7" s="236" customFormat="1" x14ac:dyDescent="0.2">
      <c r="A423" s="257">
        <v>43036</v>
      </c>
      <c r="B423" s="258">
        <v>0.625</v>
      </c>
      <c r="C423" s="258">
        <v>0.75</v>
      </c>
      <c r="D423" s="258">
        <f t="shared" si="15"/>
        <v>0.125</v>
      </c>
      <c r="E423" s="249"/>
      <c r="F423" s="252" t="s">
        <v>524</v>
      </c>
      <c r="G423" s="286" t="s">
        <v>699</v>
      </c>
    </row>
    <row r="424" spans="1:7" s="236" customFormat="1" x14ac:dyDescent="0.2">
      <c r="A424" s="257">
        <v>43036</v>
      </c>
      <c r="B424" s="258">
        <v>0.75</v>
      </c>
      <c r="C424" s="258">
        <v>0.83333333333333337</v>
      </c>
      <c r="D424" s="258">
        <f t="shared" si="15"/>
        <v>8.333333333333337E-2</v>
      </c>
      <c r="E424" s="249"/>
      <c r="F424" s="252" t="s">
        <v>700</v>
      </c>
      <c r="G424" s="286" t="s">
        <v>701</v>
      </c>
    </row>
    <row r="425" spans="1:7" s="236" customFormat="1" x14ac:dyDescent="0.2">
      <c r="A425" s="257">
        <v>43037</v>
      </c>
      <c r="B425" s="258">
        <v>0.3125</v>
      </c>
      <c r="C425" s="258">
        <v>0.64583333333333337</v>
      </c>
      <c r="D425" s="258">
        <f t="shared" si="15"/>
        <v>0.33333333333333337</v>
      </c>
      <c r="E425" s="249"/>
      <c r="F425" s="252" t="s">
        <v>524</v>
      </c>
      <c r="G425" s="286" t="s">
        <v>703</v>
      </c>
    </row>
    <row r="426" spans="1:7" s="236" customFormat="1" x14ac:dyDescent="0.2">
      <c r="A426" s="257">
        <v>43038</v>
      </c>
      <c r="B426" s="258">
        <v>0.66666666666666663</v>
      </c>
      <c r="C426" s="258">
        <v>0.75</v>
      </c>
      <c r="D426" s="258">
        <f t="shared" si="15"/>
        <v>8.333333333333337E-2</v>
      </c>
      <c r="E426" s="249"/>
      <c r="F426" s="252" t="s">
        <v>524</v>
      </c>
      <c r="G426" s="286" t="s">
        <v>705</v>
      </c>
    </row>
    <row r="427" spans="1:7" s="236" customFormat="1" x14ac:dyDescent="0.2">
      <c r="A427" s="257">
        <v>43039</v>
      </c>
      <c r="B427" s="258">
        <v>0.6875</v>
      </c>
      <c r="C427" s="258">
        <v>0.75</v>
      </c>
      <c r="D427" s="258">
        <f t="shared" si="15"/>
        <v>6.25E-2</v>
      </c>
      <c r="E427" s="249"/>
      <c r="F427" s="252" t="s">
        <v>524</v>
      </c>
      <c r="G427" s="286" t="s">
        <v>705</v>
      </c>
    </row>
    <row r="428" spans="1:7" s="236" customFormat="1" x14ac:dyDescent="0.2">
      <c r="A428" s="257">
        <v>43039</v>
      </c>
      <c r="B428" s="258">
        <v>0.84027777777777779</v>
      </c>
      <c r="C428" s="258">
        <v>6.9444444444444441E-3</v>
      </c>
      <c r="D428" s="258">
        <f t="shared" si="15"/>
        <v>0.16666666666666663</v>
      </c>
      <c r="E428" s="249"/>
      <c r="F428" s="252" t="s">
        <v>708</v>
      </c>
      <c r="G428" s="286" t="s">
        <v>710</v>
      </c>
    </row>
    <row r="429" spans="1:7" s="236" customFormat="1" x14ac:dyDescent="0.2">
      <c r="A429" s="257">
        <v>43041</v>
      </c>
      <c r="B429" s="258">
        <v>0.54166666666666663</v>
      </c>
      <c r="C429" s="258">
        <v>0.75</v>
      </c>
      <c r="D429" s="258">
        <f t="shared" si="15"/>
        <v>0.20833333333333337</v>
      </c>
      <c r="E429" s="249"/>
      <c r="F429" s="252" t="s">
        <v>524</v>
      </c>
      <c r="G429" s="286" t="s">
        <v>711</v>
      </c>
    </row>
    <row r="430" spans="1:7" s="236" customFormat="1" x14ac:dyDescent="0.2">
      <c r="A430" s="257">
        <v>43173</v>
      </c>
      <c r="B430" s="258">
        <v>0.64583333333333337</v>
      </c>
      <c r="C430" s="258">
        <v>0.14583333333333334</v>
      </c>
      <c r="D430" s="258">
        <f t="shared" ref="D430:D449" si="16">MOD(C430-B430,1)</f>
        <v>0.5</v>
      </c>
      <c r="E430" s="248"/>
      <c r="F430" s="252" t="s">
        <v>715</v>
      </c>
      <c r="G430" s="286" t="s">
        <v>713</v>
      </c>
    </row>
    <row r="431" spans="1:7" s="236" customFormat="1" x14ac:dyDescent="0.2">
      <c r="A431" s="257">
        <v>43183</v>
      </c>
      <c r="B431" s="258">
        <v>0.64583333333333337</v>
      </c>
      <c r="C431" s="258">
        <v>2.0833333333333332E-2</v>
      </c>
      <c r="D431" s="258">
        <f t="shared" si="16"/>
        <v>0.375</v>
      </c>
      <c r="E431" s="249"/>
      <c r="F431" s="252" t="s">
        <v>524</v>
      </c>
      <c r="G431" s="286" t="s">
        <v>716</v>
      </c>
    </row>
    <row r="432" spans="1:7" s="236" customFormat="1" x14ac:dyDescent="0.2">
      <c r="A432" s="257">
        <v>43194</v>
      </c>
      <c r="B432" s="258">
        <v>0.29166666666666669</v>
      </c>
      <c r="C432" s="258">
        <v>0.625</v>
      </c>
      <c r="D432" s="258">
        <f t="shared" si="16"/>
        <v>0.33333333333333331</v>
      </c>
      <c r="E432" s="249"/>
      <c r="F432" s="252" t="s">
        <v>718</v>
      </c>
      <c r="G432" s="286" t="s">
        <v>720</v>
      </c>
    </row>
    <row r="433" spans="1:7" s="236" customFormat="1" x14ac:dyDescent="0.2">
      <c r="A433" s="257">
        <v>43245</v>
      </c>
      <c r="B433" s="258">
        <v>0.8125</v>
      </c>
      <c r="C433" s="258">
        <v>0.95833333333333337</v>
      </c>
      <c r="D433" s="258">
        <f t="shared" si="16"/>
        <v>0.14583333333333337</v>
      </c>
      <c r="E433" s="249"/>
      <c r="F433" s="252" t="s">
        <v>524</v>
      </c>
      <c r="G433" s="286" t="s">
        <v>721</v>
      </c>
    </row>
    <row r="434" spans="1:7" s="236" customFormat="1" x14ac:dyDescent="0.2">
      <c r="A434" s="257">
        <v>43247</v>
      </c>
      <c r="B434" s="258">
        <v>0.29166666666666669</v>
      </c>
      <c r="C434" s="258">
        <v>0.66666666666666663</v>
      </c>
      <c r="D434" s="258">
        <f t="shared" si="16"/>
        <v>0.37499999999999994</v>
      </c>
      <c r="E434" s="249"/>
      <c r="F434" s="252" t="s">
        <v>524</v>
      </c>
      <c r="G434" s="286" t="s">
        <v>723</v>
      </c>
    </row>
    <row r="435" spans="1:7" s="236" customFormat="1" x14ac:dyDescent="0.2">
      <c r="A435" s="257">
        <v>43271</v>
      </c>
      <c r="B435" s="258">
        <v>0.8125</v>
      </c>
      <c r="C435" s="258">
        <v>0.95833333333333337</v>
      </c>
      <c r="D435" s="258">
        <f t="shared" si="16"/>
        <v>0.14583333333333337</v>
      </c>
      <c r="E435" s="249"/>
      <c r="F435" s="252" t="s">
        <v>524</v>
      </c>
      <c r="G435" s="286" t="s">
        <v>724</v>
      </c>
    </row>
    <row r="436" spans="1:7" s="236" customFormat="1" x14ac:dyDescent="0.2">
      <c r="A436" s="257">
        <v>43274</v>
      </c>
      <c r="B436" s="258">
        <v>0.66666666666666663</v>
      </c>
      <c r="C436" s="258">
        <v>0.95833333333333337</v>
      </c>
      <c r="D436" s="258">
        <f t="shared" si="16"/>
        <v>0.29166666666666674</v>
      </c>
      <c r="E436" s="249"/>
      <c r="F436" s="252" t="s">
        <v>524</v>
      </c>
      <c r="G436" s="286" t="s">
        <v>690</v>
      </c>
    </row>
    <row r="437" spans="1:7" s="236" customFormat="1" x14ac:dyDescent="0.2">
      <c r="A437" s="257">
        <v>43275</v>
      </c>
      <c r="B437" s="258">
        <v>0.58333333333333337</v>
      </c>
      <c r="C437" s="258">
        <v>0.97916666666666663</v>
      </c>
      <c r="D437" s="258">
        <f t="shared" si="16"/>
        <v>0.39583333333333326</v>
      </c>
      <c r="E437" s="249"/>
      <c r="F437" s="252" t="s">
        <v>524</v>
      </c>
      <c r="G437" s="286" t="s">
        <v>726</v>
      </c>
    </row>
    <row r="438" spans="1:7" s="236" customFormat="1" x14ac:dyDescent="0.2">
      <c r="A438" s="257">
        <v>43302</v>
      </c>
      <c r="B438" s="258">
        <v>0.33333333333333331</v>
      </c>
      <c r="C438" s="258">
        <v>0.77083333333333337</v>
      </c>
      <c r="D438" s="258">
        <f t="shared" si="16"/>
        <v>0.43750000000000006</v>
      </c>
      <c r="E438" s="249"/>
      <c r="F438" s="252" t="s">
        <v>727</v>
      </c>
      <c r="G438" s="286" t="s">
        <v>728</v>
      </c>
    </row>
    <row r="439" spans="1:7" s="236" customFormat="1" x14ac:dyDescent="0.2">
      <c r="A439" s="257">
        <v>43320</v>
      </c>
      <c r="B439" s="258">
        <v>0.52083333333333337</v>
      </c>
      <c r="C439" s="258">
        <v>0</v>
      </c>
      <c r="D439" s="258">
        <f t="shared" si="16"/>
        <v>0.47916666666666663</v>
      </c>
      <c r="E439" s="249"/>
      <c r="F439" s="254" t="s">
        <v>731</v>
      </c>
      <c r="G439" s="288" t="s">
        <v>729</v>
      </c>
    </row>
    <row r="440" spans="1:7" s="236" customFormat="1" x14ac:dyDescent="0.2">
      <c r="A440" s="257">
        <v>43321</v>
      </c>
      <c r="B440" s="258">
        <v>0.625</v>
      </c>
      <c r="C440" s="258">
        <v>8.3333333333333329E-2</v>
      </c>
      <c r="D440" s="258">
        <f t="shared" si="16"/>
        <v>0.45833333333333337</v>
      </c>
      <c r="E440" s="249"/>
      <c r="F440" s="252" t="s">
        <v>565</v>
      </c>
      <c r="G440" s="286" t="s">
        <v>729</v>
      </c>
    </row>
    <row r="441" spans="1:7" s="236" customFormat="1" x14ac:dyDescent="0.2">
      <c r="A441" s="257">
        <v>43322</v>
      </c>
      <c r="B441" s="258">
        <v>0.77083333333333337</v>
      </c>
      <c r="C441" s="258">
        <v>6.25E-2</v>
      </c>
      <c r="D441" s="258">
        <f t="shared" si="16"/>
        <v>0.29166666666666663</v>
      </c>
      <c r="E441" s="249"/>
      <c r="F441" s="252" t="s">
        <v>524</v>
      </c>
      <c r="G441" s="286" t="s">
        <v>733</v>
      </c>
    </row>
    <row r="442" spans="1:7" s="236" customFormat="1" x14ac:dyDescent="0.2">
      <c r="A442" s="257">
        <v>43352</v>
      </c>
      <c r="B442" s="258">
        <v>0.29166666666666669</v>
      </c>
      <c r="C442" s="258">
        <v>0.58333333333333337</v>
      </c>
      <c r="D442" s="258">
        <f t="shared" si="16"/>
        <v>0.29166666666666669</v>
      </c>
      <c r="E442" s="249"/>
      <c r="F442" s="252" t="s">
        <v>735</v>
      </c>
      <c r="G442" s="286" t="s">
        <v>736</v>
      </c>
    </row>
    <row r="443" spans="1:7" s="236" customFormat="1" x14ac:dyDescent="0.2">
      <c r="A443" s="257">
        <v>43366</v>
      </c>
      <c r="B443" s="258">
        <v>0.29166666666666669</v>
      </c>
      <c r="C443" s="258">
        <v>0.45833333333333331</v>
      </c>
      <c r="D443" s="258">
        <f t="shared" si="16"/>
        <v>0.16666666666666663</v>
      </c>
      <c r="E443" s="249"/>
      <c r="F443" s="252" t="s">
        <v>737</v>
      </c>
      <c r="G443" s="286" t="s">
        <v>738</v>
      </c>
    </row>
    <row r="444" spans="1:7" s="236" customFormat="1" x14ac:dyDescent="0.2">
      <c r="A444" s="257">
        <v>43372</v>
      </c>
      <c r="B444" s="258">
        <v>0.76041666666666663</v>
      </c>
      <c r="C444" s="258">
        <v>4.1666666666666664E-2</v>
      </c>
      <c r="D444" s="258">
        <f t="shared" si="16"/>
        <v>0.28125</v>
      </c>
      <c r="E444" s="249"/>
      <c r="F444" s="252" t="s">
        <v>524</v>
      </c>
      <c r="G444" s="286" t="s">
        <v>740</v>
      </c>
    </row>
    <row r="445" spans="1:7" s="236" customFormat="1" x14ac:dyDescent="0.2">
      <c r="A445" s="257">
        <v>43373</v>
      </c>
      <c r="B445" s="258">
        <v>0.76041666666666663</v>
      </c>
      <c r="C445" s="258">
        <v>4.1666666666666664E-2</v>
      </c>
      <c r="D445" s="258">
        <f t="shared" si="16"/>
        <v>0.28125</v>
      </c>
      <c r="E445" s="249"/>
      <c r="F445" s="252" t="s">
        <v>524</v>
      </c>
      <c r="G445" s="286" t="s">
        <v>740</v>
      </c>
    </row>
    <row r="446" spans="1:7" s="236" customFormat="1" x14ac:dyDescent="0.2">
      <c r="A446" s="257">
        <v>43379</v>
      </c>
      <c r="B446" s="258">
        <v>0.79166666666666663</v>
      </c>
      <c r="C446" s="258">
        <v>0.95833333333333337</v>
      </c>
      <c r="D446" s="258">
        <f t="shared" si="16"/>
        <v>0.16666666666666674</v>
      </c>
      <c r="E446" s="249"/>
      <c r="F446" s="252" t="s">
        <v>524</v>
      </c>
      <c r="G446" s="286" t="s">
        <v>742</v>
      </c>
    </row>
    <row r="447" spans="1:7" s="236" customFormat="1" x14ac:dyDescent="0.2">
      <c r="A447" s="257">
        <v>43438</v>
      </c>
      <c r="B447" s="258">
        <v>0.66666666666666663</v>
      </c>
      <c r="C447" s="258">
        <v>4.1666666666666664E-2</v>
      </c>
      <c r="D447" s="258">
        <f t="shared" si="16"/>
        <v>0.375</v>
      </c>
      <c r="E447" s="249"/>
      <c r="F447" s="252" t="s">
        <v>531</v>
      </c>
      <c r="G447" s="286" t="s">
        <v>793</v>
      </c>
    </row>
    <row r="448" spans="1:7" s="236" customFormat="1" x14ac:dyDescent="0.2">
      <c r="A448" s="257">
        <v>43439</v>
      </c>
      <c r="B448" s="258">
        <v>0.66666666666666663</v>
      </c>
      <c r="C448" s="258">
        <v>1</v>
      </c>
      <c r="D448" s="258">
        <f t="shared" si="16"/>
        <v>0.33333333333333337</v>
      </c>
      <c r="E448" s="249"/>
      <c r="F448" s="252" t="s">
        <v>531</v>
      </c>
      <c r="G448" s="286" t="s">
        <v>793</v>
      </c>
    </row>
    <row r="449" spans="1:7" s="236" customFormat="1" x14ac:dyDescent="0.2">
      <c r="A449" s="257">
        <v>43440</v>
      </c>
      <c r="B449" s="258">
        <v>0.66666666666666663</v>
      </c>
      <c r="C449" s="258">
        <v>1</v>
      </c>
      <c r="D449" s="258">
        <f t="shared" si="16"/>
        <v>0.33333333333333337</v>
      </c>
      <c r="E449" s="249"/>
      <c r="F449" s="252" t="s">
        <v>531</v>
      </c>
      <c r="G449" s="286" t="s">
        <v>793</v>
      </c>
    </row>
    <row r="450" spans="1:7" s="236" customFormat="1" x14ac:dyDescent="0.2">
      <c r="A450" s="257">
        <v>43471</v>
      </c>
      <c r="B450" s="258">
        <v>0.60416666666666663</v>
      </c>
      <c r="C450" s="258">
        <v>0.8125</v>
      </c>
      <c r="D450" s="258">
        <f t="shared" ref="D450:D462" si="17">MOD(C450-B450,1)</f>
        <v>0.20833333333333337</v>
      </c>
      <c r="E450" s="249"/>
      <c r="F450" s="252" t="s">
        <v>524</v>
      </c>
      <c r="G450" s="286" t="s">
        <v>748</v>
      </c>
    </row>
    <row r="451" spans="1:7" s="236" customFormat="1" x14ac:dyDescent="0.2">
      <c r="A451" s="257">
        <v>43618</v>
      </c>
      <c r="B451" s="258">
        <v>0.45833333333333331</v>
      </c>
      <c r="C451" s="258">
        <v>0.625</v>
      </c>
      <c r="D451" s="258">
        <f t="shared" si="17"/>
        <v>0.16666666666666669</v>
      </c>
      <c r="E451" s="249"/>
      <c r="F451" s="252" t="s">
        <v>524</v>
      </c>
      <c r="G451" s="286" t="s">
        <v>750</v>
      </c>
    </row>
    <row r="452" spans="1:7" s="236" customFormat="1" x14ac:dyDescent="0.2">
      <c r="A452" s="257">
        <v>43622</v>
      </c>
      <c r="B452" s="258">
        <v>0.58333333333333337</v>
      </c>
      <c r="C452" s="258">
        <v>0.91666666666666663</v>
      </c>
      <c r="D452" s="258">
        <f t="shared" si="17"/>
        <v>0.33333333333333326</v>
      </c>
      <c r="E452" s="249"/>
      <c r="F452" s="252" t="s">
        <v>524</v>
      </c>
      <c r="G452" s="286" t="s">
        <v>751</v>
      </c>
    </row>
    <row r="453" spans="1:7" s="236" customFormat="1" x14ac:dyDescent="0.2">
      <c r="A453" s="257">
        <v>43623</v>
      </c>
      <c r="B453" s="258">
        <v>0.58333333333333337</v>
      </c>
      <c r="C453" s="258">
        <v>0.8125</v>
      </c>
      <c r="D453" s="258">
        <f t="shared" si="17"/>
        <v>0.22916666666666663</v>
      </c>
      <c r="E453" s="249"/>
      <c r="F453" s="252" t="s">
        <v>524</v>
      </c>
      <c r="G453" s="286" t="s">
        <v>751</v>
      </c>
    </row>
    <row r="454" spans="1:7" s="236" customFormat="1" x14ac:dyDescent="0.2">
      <c r="A454" s="257">
        <v>43624</v>
      </c>
      <c r="B454" s="258">
        <v>0.58333333333333337</v>
      </c>
      <c r="C454" s="258">
        <v>0.79166666666666663</v>
      </c>
      <c r="D454" s="258">
        <f t="shared" si="17"/>
        <v>0.20833333333333326</v>
      </c>
      <c r="E454" s="249"/>
      <c r="F454" s="252" t="s">
        <v>753</v>
      </c>
      <c r="G454" s="286" t="s">
        <v>754</v>
      </c>
    </row>
    <row r="455" spans="1:7" s="236" customFormat="1" x14ac:dyDescent="0.2">
      <c r="A455" s="257">
        <v>43626</v>
      </c>
      <c r="B455" s="258">
        <v>0.3125</v>
      </c>
      <c r="C455" s="258">
        <v>0.64583333333333337</v>
      </c>
      <c r="D455" s="258">
        <f t="shared" si="17"/>
        <v>0.33333333333333337</v>
      </c>
      <c r="E455" s="249"/>
      <c r="F455" s="252" t="s">
        <v>755</v>
      </c>
      <c r="G455" s="286" t="s">
        <v>898</v>
      </c>
    </row>
    <row r="456" spans="1:7" s="236" customFormat="1" x14ac:dyDescent="0.2">
      <c r="A456" s="257">
        <v>43631</v>
      </c>
      <c r="B456" s="258">
        <v>0.29166666666666669</v>
      </c>
      <c r="C456" s="258">
        <v>0.5625</v>
      </c>
      <c r="D456" s="258">
        <f t="shared" si="17"/>
        <v>0.27083333333333331</v>
      </c>
      <c r="E456" s="249"/>
      <c r="F456" s="252" t="s">
        <v>757</v>
      </c>
      <c r="G456" s="286" t="s">
        <v>758</v>
      </c>
    </row>
    <row r="457" spans="1:7" s="236" customFormat="1" x14ac:dyDescent="0.2">
      <c r="A457" s="257">
        <v>43632</v>
      </c>
      <c r="B457" s="258">
        <v>0.29166666666666669</v>
      </c>
      <c r="C457" s="258">
        <v>0.64583333333333337</v>
      </c>
      <c r="D457" s="258">
        <f t="shared" si="17"/>
        <v>0.35416666666666669</v>
      </c>
      <c r="E457" s="249"/>
      <c r="F457" s="252" t="s">
        <v>755</v>
      </c>
      <c r="G457" s="286" t="s">
        <v>759</v>
      </c>
    </row>
    <row r="458" spans="1:7" s="236" customFormat="1" x14ac:dyDescent="0.2">
      <c r="A458" s="257">
        <v>43636</v>
      </c>
      <c r="B458" s="258">
        <v>0.79166666666666663</v>
      </c>
      <c r="C458" s="258">
        <v>0.95833333333333337</v>
      </c>
      <c r="D458" s="258">
        <f t="shared" si="17"/>
        <v>0.16666666666666674</v>
      </c>
      <c r="E458" s="249"/>
      <c r="F458" s="252" t="s">
        <v>524</v>
      </c>
      <c r="G458" s="286" t="s">
        <v>761</v>
      </c>
    </row>
    <row r="459" spans="1:7" s="236" customFormat="1" x14ac:dyDescent="0.2">
      <c r="A459" s="257">
        <v>43639</v>
      </c>
      <c r="B459" s="258">
        <v>0.70833333333333337</v>
      </c>
      <c r="C459" s="258">
        <v>0.9375</v>
      </c>
      <c r="D459" s="258">
        <f t="shared" si="17"/>
        <v>0.22916666666666663</v>
      </c>
      <c r="E459" s="249"/>
      <c r="F459" s="252" t="s">
        <v>524</v>
      </c>
      <c r="G459" s="286" t="s">
        <v>762</v>
      </c>
    </row>
    <row r="460" spans="1:7" s="236" customFormat="1" x14ac:dyDescent="0.2">
      <c r="A460" s="257">
        <v>43672</v>
      </c>
      <c r="B460" s="258">
        <v>0.29166666666666669</v>
      </c>
      <c r="C460" s="258">
        <v>0.54166666666666663</v>
      </c>
      <c r="D460" s="258">
        <f t="shared" si="17"/>
        <v>0.24999999999999994</v>
      </c>
      <c r="E460" s="249"/>
      <c r="F460" s="252" t="s">
        <v>895</v>
      </c>
      <c r="G460" s="286" t="s">
        <v>765</v>
      </c>
    </row>
    <row r="461" spans="1:7" s="236" customFormat="1" x14ac:dyDescent="0.2">
      <c r="A461" s="257">
        <v>43681</v>
      </c>
      <c r="B461" s="258">
        <v>0.29166666666666669</v>
      </c>
      <c r="C461" s="258">
        <v>0.54166666666666663</v>
      </c>
      <c r="D461" s="258">
        <f t="shared" si="17"/>
        <v>0.24999999999999994</v>
      </c>
      <c r="E461" s="249"/>
      <c r="F461" s="252" t="s">
        <v>524</v>
      </c>
      <c r="G461" s="286" t="s">
        <v>768</v>
      </c>
    </row>
    <row r="462" spans="1:7" s="236" customFormat="1" x14ac:dyDescent="0.2">
      <c r="A462" s="257">
        <v>43800</v>
      </c>
      <c r="B462" s="258">
        <v>0.29166666666666669</v>
      </c>
      <c r="C462" s="258">
        <v>0.58333333333333337</v>
      </c>
      <c r="D462" s="258">
        <f t="shared" si="17"/>
        <v>0.29166666666666669</v>
      </c>
      <c r="E462" s="249"/>
      <c r="F462" s="252" t="s">
        <v>524</v>
      </c>
      <c r="G462" s="286" t="s">
        <v>767</v>
      </c>
    </row>
    <row r="463" spans="1:7" s="236" customFormat="1" x14ac:dyDescent="0.2">
      <c r="A463" s="257">
        <v>43998</v>
      </c>
      <c r="B463" s="258">
        <v>0.4375</v>
      </c>
      <c r="C463" s="258">
        <v>0.75</v>
      </c>
      <c r="D463" s="258">
        <f t="shared" ref="D463:D486" si="18">MOD(C463-B463,1)</f>
        <v>0.3125</v>
      </c>
      <c r="E463" s="249"/>
      <c r="F463" s="215" t="s">
        <v>770</v>
      </c>
      <c r="G463" s="286" t="s">
        <v>769</v>
      </c>
    </row>
    <row r="464" spans="1:7" s="236" customFormat="1" x14ac:dyDescent="0.2">
      <c r="A464" s="257">
        <v>43999</v>
      </c>
      <c r="B464" s="258">
        <v>0.35416666666666669</v>
      </c>
      <c r="C464" s="258">
        <v>0.75</v>
      </c>
      <c r="D464" s="258">
        <f t="shared" si="18"/>
        <v>0.39583333333333331</v>
      </c>
      <c r="E464" s="249"/>
      <c r="F464" s="215" t="s">
        <v>770</v>
      </c>
      <c r="G464" s="286" t="s">
        <v>769</v>
      </c>
    </row>
    <row r="465" spans="1:7" s="236" customFormat="1" x14ac:dyDescent="0.2">
      <c r="A465" s="257">
        <v>44065</v>
      </c>
      <c r="B465" s="258">
        <v>0.3125</v>
      </c>
      <c r="C465" s="258">
        <v>0.5625</v>
      </c>
      <c r="D465" s="258">
        <f t="shared" si="18"/>
        <v>0.25</v>
      </c>
      <c r="E465" s="249"/>
      <c r="F465" s="252" t="s">
        <v>778</v>
      </c>
      <c r="G465" s="286" t="s">
        <v>779</v>
      </c>
    </row>
    <row r="466" spans="1:7" s="236" customFormat="1" x14ac:dyDescent="0.2">
      <c r="A466" s="257">
        <v>44068</v>
      </c>
      <c r="B466" s="258">
        <v>0.3125</v>
      </c>
      <c r="C466" s="258">
        <v>0.5625</v>
      </c>
      <c r="D466" s="258">
        <f t="shared" si="18"/>
        <v>0.25</v>
      </c>
      <c r="E466" s="249"/>
      <c r="F466" s="252" t="s">
        <v>778</v>
      </c>
      <c r="G466" s="286" t="s">
        <v>779</v>
      </c>
    </row>
    <row r="467" spans="1:7" s="236" customFormat="1" x14ac:dyDescent="0.2">
      <c r="A467" s="257">
        <v>44070</v>
      </c>
      <c r="B467" s="258">
        <v>0.3125</v>
      </c>
      <c r="C467" s="258">
        <v>0.52083333333333337</v>
      </c>
      <c r="D467" s="258">
        <f t="shared" si="18"/>
        <v>0.20833333333333337</v>
      </c>
      <c r="E467" s="249"/>
      <c r="F467" s="252" t="s">
        <v>778</v>
      </c>
      <c r="G467" s="286" t="s">
        <v>779</v>
      </c>
    </row>
    <row r="468" spans="1:7" s="236" customFormat="1" x14ac:dyDescent="0.2">
      <c r="A468" s="257">
        <v>44075</v>
      </c>
      <c r="B468" s="258">
        <v>0.3125</v>
      </c>
      <c r="C468" s="258">
        <v>0.52083333333333337</v>
      </c>
      <c r="D468" s="258">
        <f t="shared" si="18"/>
        <v>0.20833333333333337</v>
      </c>
      <c r="E468" s="249"/>
      <c r="F468" s="252" t="s">
        <v>780</v>
      </c>
      <c r="G468" s="286" t="s">
        <v>781</v>
      </c>
    </row>
    <row r="469" spans="1:7" s="236" customFormat="1" x14ac:dyDescent="0.2">
      <c r="A469" s="257">
        <v>44077</v>
      </c>
      <c r="B469" s="258">
        <v>0.3125</v>
      </c>
      <c r="C469" s="258">
        <v>0.52083333333333337</v>
      </c>
      <c r="D469" s="258">
        <f t="shared" si="18"/>
        <v>0.20833333333333337</v>
      </c>
      <c r="E469" s="249"/>
      <c r="F469" s="252" t="s">
        <v>780</v>
      </c>
      <c r="G469" s="286" t="s">
        <v>781</v>
      </c>
    </row>
    <row r="470" spans="1:7" s="236" customFormat="1" x14ac:dyDescent="0.2">
      <c r="A470" s="257">
        <v>44082</v>
      </c>
      <c r="B470" s="258">
        <v>0.3125</v>
      </c>
      <c r="C470" s="258">
        <v>0.52083333333333337</v>
      </c>
      <c r="D470" s="258">
        <f t="shared" si="18"/>
        <v>0.20833333333333337</v>
      </c>
      <c r="E470" s="249"/>
      <c r="F470" s="252" t="s">
        <v>780</v>
      </c>
      <c r="G470" s="286" t="s">
        <v>781</v>
      </c>
    </row>
    <row r="471" spans="1:7" s="236" customFormat="1" x14ac:dyDescent="0.2">
      <c r="A471" s="257">
        <v>44084</v>
      </c>
      <c r="B471" s="258">
        <v>0.3125</v>
      </c>
      <c r="C471" s="258">
        <v>0.52083333333333337</v>
      </c>
      <c r="D471" s="258">
        <f t="shared" si="18"/>
        <v>0.20833333333333337</v>
      </c>
      <c r="E471" s="249"/>
      <c r="F471" s="252" t="s">
        <v>780</v>
      </c>
      <c r="G471" s="286" t="s">
        <v>781</v>
      </c>
    </row>
    <row r="472" spans="1:7" s="236" customFormat="1" x14ac:dyDescent="0.2">
      <c r="A472" s="257">
        <v>44090</v>
      </c>
      <c r="B472" s="258">
        <v>0.3125</v>
      </c>
      <c r="C472" s="258">
        <v>0.52083333333333337</v>
      </c>
      <c r="D472" s="258">
        <f t="shared" si="18"/>
        <v>0.20833333333333337</v>
      </c>
      <c r="E472" s="249"/>
      <c r="F472" s="252" t="s">
        <v>780</v>
      </c>
      <c r="G472" s="286" t="s">
        <v>781</v>
      </c>
    </row>
    <row r="473" spans="1:7" s="236" customFormat="1" x14ac:dyDescent="0.2">
      <c r="A473" s="257">
        <v>44096</v>
      </c>
      <c r="B473" s="258">
        <v>0.35416666666666669</v>
      </c>
      <c r="C473" s="258">
        <v>0.5625</v>
      </c>
      <c r="D473" s="258">
        <f t="shared" si="18"/>
        <v>0.20833333333333331</v>
      </c>
      <c r="E473" s="249"/>
      <c r="F473" s="252" t="s">
        <v>780</v>
      </c>
      <c r="G473" s="286" t="s">
        <v>781</v>
      </c>
    </row>
    <row r="474" spans="1:7" s="236" customFormat="1" x14ac:dyDescent="0.2">
      <c r="A474" s="257">
        <v>44103</v>
      </c>
      <c r="B474" s="258">
        <v>0.3125</v>
      </c>
      <c r="C474" s="258">
        <v>0.47916666666666669</v>
      </c>
      <c r="D474" s="258">
        <f t="shared" si="18"/>
        <v>0.16666666666666669</v>
      </c>
      <c r="E474" s="249"/>
      <c r="F474" s="252" t="s">
        <v>780</v>
      </c>
      <c r="G474" s="286" t="s">
        <v>781</v>
      </c>
    </row>
    <row r="475" spans="1:7" s="236" customFormat="1" x14ac:dyDescent="0.2">
      <c r="A475" s="257">
        <v>44105</v>
      </c>
      <c r="B475" s="258">
        <v>0.3125</v>
      </c>
      <c r="C475" s="258">
        <v>0.47916666666666669</v>
      </c>
      <c r="D475" s="258">
        <f t="shared" si="18"/>
        <v>0.16666666666666669</v>
      </c>
      <c r="E475" s="249"/>
      <c r="F475" s="252" t="s">
        <v>780</v>
      </c>
      <c r="G475" s="286" t="s">
        <v>781</v>
      </c>
    </row>
    <row r="476" spans="1:7" s="236" customFormat="1" x14ac:dyDescent="0.2">
      <c r="A476" s="257">
        <v>44150</v>
      </c>
      <c r="B476" s="258">
        <v>0.58333333333333337</v>
      </c>
      <c r="C476" s="258">
        <v>0.83333333333333337</v>
      </c>
      <c r="D476" s="258">
        <f t="shared" si="18"/>
        <v>0.25</v>
      </c>
      <c r="E476" s="249"/>
      <c r="F476" s="252" t="s">
        <v>783</v>
      </c>
      <c r="G476" s="286" t="s">
        <v>784</v>
      </c>
    </row>
    <row r="477" spans="1:7" s="236" customFormat="1" x14ac:dyDescent="0.2">
      <c r="A477" s="257">
        <v>44153</v>
      </c>
      <c r="B477" s="258">
        <v>0.59375</v>
      </c>
      <c r="C477" s="258">
        <v>0.80208333333333337</v>
      </c>
      <c r="D477" s="258">
        <f t="shared" si="18"/>
        <v>0.20833333333333337</v>
      </c>
      <c r="E477" s="249"/>
      <c r="F477" s="252" t="s">
        <v>785</v>
      </c>
      <c r="G477" s="286" t="s">
        <v>786</v>
      </c>
    </row>
    <row r="478" spans="1:7" s="236" customFormat="1" x14ac:dyDescent="0.2">
      <c r="A478" s="257">
        <v>44156</v>
      </c>
      <c r="B478" s="258">
        <v>0.60416666666666663</v>
      </c>
      <c r="C478" s="258">
        <v>0.77083333333333337</v>
      </c>
      <c r="D478" s="258">
        <f t="shared" si="18"/>
        <v>0.16666666666666674</v>
      </c>
      <c r="E478" s="249"/>
      <c r="F478" s="252" t="s">
        <v>785</v>
      </c>
      <c r="G478" s="286" t="s">
        <v>786</v>
      </c>
    </row>
    <row r="479" spans="1:7" s="236" customFormat="1" x14ac:dyDescent="0.2">
      <c r="A479" s="257">
        <v>44159</v>
      </c>
      <c r="B479" s="258">
        <v>0.60416666666666663</v>
      </c>
      <c r="C479" s="258">
        <v>0.77083333333333337</v>
      </c>
      <c r="D479" s="258">
        <f t="shared" si="18"/>
        <v>0.16666666666666674</v>
      </c>
      <c r="E479" s="249"/>
      <c r="F479" s="252" t="s">
        <v>787</v>
      </c>
      <c r="G479" s="289" t="s">
        <v>788</v>
      </c>
    </row>
    <row r="480" spans="1:7" s="236" customFormat="1" x14ac:dyDescent="0.2">
      <c r="A480" s="257">
        <v>44160</v>
      </c>
      <c r="B480" s="258">
        <v>0.60416666666666663</v>
      </c>
      <c r="C480" s="258">
        <v>0.77083333333333337</v>
      </c>
      <c r="D480" s="258">
        <f t="shared" si="18"/>
        <v>0.16666666666666674</v>
      </c>
      <c r="E480" s="249"/>
      <c r="F480" s="252" t="s">
        <v>787</v>
      </c>
      <c r="G480" s="289" t="s">
        <v>788</v>
      </c>
    </row>
    <row r="481" spans="1:7" s="236" customFormat="1" x14ac:dyDescent="0.2">
      <c r="A481" s="257">
        <v>44164</v>
      </c>
      <c r="B481" s="258">
        <v>0.60416666666666663</v>
      </c>
      <c r="C481" s="258">
        <v>0.8125</v>
      </c>
      <c r="D481" s="258">
        <f t="shared" si="18"/>
        <v>0.20833333333333337</v>
      </c>
      <c r="E481" s="249"/>
      <c r="F481" s="252" t="s">
        <v>787</v>
      </c>
      <c r="G481" s="289" t="s">
        <v>788</v>
      </c>
    </row>
    <row r="482" spans="1:7" s="236" customFormat="1" x14ac:dyDescent="0.2">
      <c r="A482" s="257">
        <v>44165</v>
      </c>
      <c r="B482" s="258">
        <v>0.60416666666666663</v>
      </c>
      <c r="C482" s="258">
        <v>0.77083333333333337</v>
      </c>
      <c r="D482" s="258">
        <f t="shared" si="18"/>
        <v>0.16666666666666674</v>
      </c>
      <c r="E482" s="249"/>
      <c r="F482" s="252" t="s">
        <v>787</v>
      </c>
      <c r="G482" s="289" t="s">
        <v>788</v>
      </c>
    </row>
    <row r="483" spans="1:7" s="236" customFormat="1" x14ac:dyDescent="0.2">
      <c r="A483" s="257">
        <v>44167</v>
      </c>
      <c r="B483" s="258">
        <v>0.4375</v>
      </c>
      <c r="C483" s="258">
        <v>0.77083333333333337</v>
      </c>
      <c r="D483" s="258">
        <f t="shared" si="18"/>
        <v>0.33333333333333337</v>
      </c>
      <c r="E483" s="249"/>
      <c r="F483" s="252" t="s">
        <v>787</v>
      </c>
      <c r="G483" s="289" t="s">
        <v>788</v>
      </c>
    </row>
    <row r="484" spans="1:7" s="236" customFormat="1" x14ac:dyDescent="0.2">
      <c r="A484" s="257">
        <v>44168</v>
      </c>
      <c r="B484" s="258">
        <v>0.5625</v>
      </c>
      <c r="C484" s="258">
        <v>0.6875</v>
      </c>
      <c r="D484" s="258">
        <f t="shared" si="18"/>
        <v>0.125</v>
      </c>
      <c r="E484" s="249"/>
      <c r="F484" s="252" t="s">
        <v>787</v>
      </c>
      <c r="G484" s="289" t="s">
        <v>788</v>
      </c>
    </row>
    <row r="485" spans="1:7" s="236" customFormat="1" x14ac:dyDescent="0.2">
      <c r="A485" s="257">
        <v>44174</v>
      </c>
      <c r="B485" s="258">
        <v>0.625</v>
      </c>
      <c r="C485" s="258">
        <v>0.79166666666666663</v>
      </c>
      <c r="D485" s="258">
        <f t="shared" si="18"/>
        <v>0.16666666666666663</v>
      </c>
      <c r="E485" s="249"/>
      <c r="F485" s="252" t="s">
        <v>787</v>
      </c>
      <c r="G485" s="289" t="s">
        <v>788</v>
      </c>
    </row>
    <row r="486" spans="1:7" s="236" customFormat="1" x14ac:dyDescent="0.2">
      <c r="A486" s="257">
        <v>44176</v>
      </c>
      <c r="B486" s="258">
        <v>0.625</v>
      </c>
      <c r="C486" s="258">
        <v>0.75</v>
      </c>
      <c r="D486" s="258">
        <f t="shared" si="18"/>
        <v>0.125</v>
      </c>
      <c r="E486" s="249"/>
      <c r="F486" s="252" t="s">
        <v>787</v>
      </c>
      <c r="G486" s="289" t="s">
        <v>788</v>
      </c>
    </row>
    <row r="487" spans="1:7" s="236" customFormat="1" x14ac:dyDescent="0.2">
      <c r="A487" s="257">
        <v>44386</v>
      </c>
      <c r="B487" s="258">
        <v>0.33333333333333331</v>
      </c>
      <c r="C487" s="258">
        <v>0.58333333333333337</v>
      </c>
      <c r="D487" s="258">
        <f t="shared" ref="D487:D495" si="19">MOD(C487-B487,1)</f>
        <v>0.25000000000000006</v>
      </c>
      <c r="E487" s="242" t="s">
        <v>913</v>
      </c>
      <c r="F487" s="252" t="s">
        <v>789</v>
      </c>
      <c r="G487" s="286" t="s">
        <v>792</v>
      </c>
    </row>
    <row r="488" spans="1:7" s="236" customFormat="1" x14ac:dyDescent="0.2">
      <c r="A488" s="257">
        <v>44388</v>
      </c>
      <c r="B488" s="258">
        <v>0.58333333333333337</v>
      </c>
      <c r="C488" s="258">
        <v>0.83333333333333337</v>
      </c>
      <c r="D488" s="258">
        <f t="shared" si="19"/>
        <v>0.25</v>
      </c>
      <c r="E488" s="242" t="s">
        <v>913</v>
      </c>
      <c r="F488" s="252" t="s">
        <v>789</v>
      </c>
      <c r="G488" s="286" t="s">
        <v>792</v>
      </c>
    </row>
    <row r="489" spans="1:7" s="236" customFormat="1" x14ac:dyDescent="0.2">
      <c r="A489" s="257">
        <v>44395</v>
      </c>
      <c r="B489" s="258">
        <v>0.58333333333333337</v>
      </c>
      <c r="C489" s="258">
        <v>0.83333333333333337</v>
      </c>
      <c r="D489" s="258">
        <f t="shared" si="19"/>
        <v>0.25</v>
      </c>
      <c r="E489" s="242" t="s">
        <v>913</v>
      </c>
      <c r="F489" s="252" t="s">
        <v>789</v>
      </c>
      <c r="G489" s="286" t="s">
        <v>792</v>
      </c>
    </row>
    <row r="490" spans="1:7" s="236" customFormat="1" x14ac:dyDescent="0.2">
      <c r="A490" s="257">
        <v>44402</v>
      </c>
      <c r="B490" s="258">
        <v>0.58333333333333337</v>
      </c>
      <c r="C490" s="258">
        <v>0.83333333333333337</v>
      </c>
      <c r="D490" s="258">
        <f t="shared" si="19"/>
        <v>0.25</v>
      </c>
      <c r="E490" s="242" t="s">
        <v>913</v>
      </c>
      <c r="F490" s="252" t="s">
        <v>789</v>
      </c>
      <c r="G490" s="286" t="s">
        <v>792</v>
      </c>
    </row>
    <row r="491" spans="1:7" s="236" customFormat="1" x14ac:dyDescent="0.2">
      <c r="A491" s="257">
        <v>44409</v>
      </c>
      <c r="B491" s="258">
        <v>0.58333333333333337</v>
      </c>
      <c r="C491" s="258">
        <v>0.83333333333333337</v>
      </c>
      <c r="D491" s="258">
        <f t="shared" si="19"/>
        <v>0.25</v>
      </c>
      <c r="E491" s="242" t="s">
        <v>913</v>
      </c>
      <c r="F491" s="252" t="s">
        <v>789</v>
      </c>
      <c r="G491" s="286" t="s">
        <v>792</v>
      </c>
    </row>
    <row r="492" spans="1:7" s="236" customFormat="1" x14ac:dyDescent="0.2">
      <c r="A492" s="257">
        <v>44422</v>
      </c>
      <c r="B492" s="258">
        <v>0.33333333333333331</v>
      </c>
      <c r="C492" s="258">
        <v>0.58333333333333337</v>
      </c>
      <c r="D492" s="258">
        <f t="shared" si="19"/>
        <v>0.25000000000000006</v>
      </c>
      <c r="E492" s="242" t="s">
        <v>913</v>
      </c>
      <c r="F492" s="252" t="s">
        <v>912</v>
      </c>
      <c r="G492" s="286" t="s">
        <v>792</v>
      </c>
    </row>
    <row r="493" spans="1:7" s="236" customFormat="1" x14ac:dyDescent="0.2">
      <c r="A493" s="257">
        <v>44444</v>
      </c>
      <c r="B493" s="258">
        <v>0.58333333333333337</v>
      </c>
      <c r="C493" s="258">
        <v>0.83333333333333337</v>
      </c>
      <c r="D493" s="258">
        <f t="shared" si="19"/>
        <v>0.25</v>
      </c>
      <c r="E493" s="251" t="s">
        <v>914</v>
      </c>
      <c r="F493" s="252" t="s">
        <v>789</v>
      </c>
      <c r="G493" s="286" t="s">
        <v>792</v>
      </c>
    </row>
    <row r="494" spans="1:7" s="236" customFormat="1" x14ac:dyDescent="0.2">
      <c r="A494" s="257">
        <v>44451</v>
      </c>
      <c r="B494" s="258">
        <v>0.58333333333333337</v>
      </c>
      <c r="C494" s="258">
        <v>0.83333333333333337</v>
      </c>
      <c r="D494" s="258">
        <f t="shared" si="19"/>
        <v>0.25</v>
      </c>
      <c r="E494" s="251" t="s">
        <v>914</v>
      </c>
      <c r="F494" s="252" t="s">
        <v>789</v>
      </c>
      <c r="G494" s="286" t="s">
        <v>792</v>
      </c>
    </row>
    <row r="495" spans="1:7" s="236" customFormat="1" x14ac:dyDescent="0.2">
      <c r="A495" s="257">
        <v>44465</v>
      </c>
      <c r="B495" s="258">
        <v>0.33333333333333331</v>
      </c>
      <c r="C495" s="258">
        <v>0.58333333333333337</v>
      </c>
      <c r="D495" s="258">
        <f t="shared" si="19"/>
        <v>0.25000000000000006</v>
      </c>
      <c r="E495" s="251" t="s">
        <v>914</v>
      </c>
      <c r="F495" s="252" t="s">
        <v>789</v>
      </c>
      <c r="G495" s="286" t="s">
        <v>792</v>
      </c>
    </row>
    <row r="496" spans="1:7" s="236" customFormat="1" x14ac:dyDescent="0.2">
      <c r="A496" s="257">
        <v>44763</v>
      </c>
      <c r="B496" s="260">
        <v>0.875</v>
      </c>
      <c r="C496" s="260">
        <v>0.99930555555555556</v>
      </c>
      <c r="D496" s="260">
        <f t="shared" ref="D496:D502" si="20">C496-B496</f>
        <v>0.12430555555555556</v>
      </c>
      <c r="E496" s="242" t="s">
        <v>913</v>
      </c>
      <c r="F496" s="252" t="s">
        <v>916</v>
      </c>
      <c r="G496" s="286" t="s">
        <v>919</v>
      </c>
    </row>
    <row r="497" spans="1:7" s="236" customFormat="1" x14ac:dyDescent="0.2">
      <c r="A497" s="257">
        <v>44764</v>
      </c>
      <c r="B497" s="260">
        <v>0</v>
      </c>
      <c r="C497" s="260">
        <v>6.25E-2</v>
      </c>
      <c r="D497" s="260">
        <f t="shared" si="20"/>
        <v>6.25E-2</v>
      </c>
      <c r="E497" s="242" t="s">
        <v>913</v>
      </c>
      <c r="F497" s="252" t="s">
        <v>916</v>
      </c>
      <c r="G497" s="286" t="s">
        <v>919</v>
      </c>
    </row>
    <row r="498" spans="1:7" s="236" customFormat="1" x14ac:dyDescent="0.2">
      <c r="A498" s="257">
        <v>44764</v>
      </c>
      <c r="B498" s="260">
        <v>6.25E-2</v>
      </c>
      <c r="C498" s="260">
        <v>6.3194444444444442E-2</v>
      </c>
      <c r="D498" s="260">
        <f t="shared" si="20"/>
        <v>6.9444444444444198E-4</v>
      </c>
      <c r="E498" s="242" t="s">
        <v>913</v>
      </c>
      <c r="F498" s="252" t="s">
        <v>916</v>
      </c>
      <c r="G498" s="286" t="s">
        <v>919</v>
      </c>
    </row>
    <row r="499" spans="1:7" s="236" customFormat="1" x14ac:dyDescent="0.2">
      <c r="A499" s="257">
        <v>44765</v>
      </c>
      <c r="B499" s="258">
        <v>0.29166666666666669</v>
      </c>
      <c r="C499" s="258">
        <v>0.5625</v>
      </c>
      <c r="D499" s="260">
        <f t="shared" si="20"/>
        <v>0.27083333333333331</v>
      </c>
      <c r="E499" s="242" t="s">
        <v>913</v>
      </c>
      <c r="F499" s="252" t="s">
        <v>916</v>
      </c>
      <c r="G499" s="286" t="s">
        <v>921</v>
      </c>
    </row>
    <row r="500" spans="1:7" s="236" customFormat="1" x14ac:dyDescent="0.2">
      <c r="A500" s="257">
        <v>44835</v>
      </c>
      <c r="B500" s="258">
        <v>0.375</v>
      </c>
      <c r="C500" s="258">
        <v>0.54166666666666663</v>
      </c>
      <c r="D500" s="260">
        <f t="shared" si="20"/>
        <v>0.16666666666666663</v>
      </c>
      <c r="E500" s="242" t="s">
        <v>913</v>
      </c>
      <c r="F500" s="252" t="s">
        <v>924</v>
      </c>
      <c r="G500" s="286" t="s">
        <v>923</v>
      </c>
    </row>
    <row r="501" spans="1:7" s="236" customFormat="1" x14ac:dyDescent="0.2">
      <c r="A501" s="257">
        <v>44850</v>
      </c>
      <c r="B501" s="258">
        <v>0.375</v>
      </c>
      <c r="C501" s="258">
        <v>0.79166666666666663</v>
      </c>
      <c r="D501" s="260">
        <f t="shared" si="20"/>
        <v>0.41666666666666663</v>
      </c>
      <c r="E501" s="242" t="s">
        <v>913</v>
      </c>
      <c r="F501" s="252" t="s">
        <v>927</v>
      </c>
      <c r="G501" s="286" t="s">
        <v>928</v>
      </c>
    </row>
    <row r="502" spans="1:7" s="236" customFormat="1" x14ac:dyDescent="0.2">
      <c r="A502" s="257">
        <v>44913</v>
      </c>
      <c r="B502" s="258">
        <v>0.3125</v>
      </c>
      <c r="C502" s="258">
        <v>0.77083333333333337</v>
      </c>
      <c r="D502" s="258">
        <f t="shared" si="20"/>
        <v>0.45833333333333337</v>
      </c>
      <c r="E502" s="242" t="s">
        <v>913</v>
      </c>
      <c r="F502" s="252" t="s">
        <v>929</v>
      </c>
      <c r="G502" s="286" t="s">
        <v>930</v>
      </c>
    </row>
    <row r="503" spans="1:7" s="236" customFormat="1" x14ac:dyDescent="0.2">
      <c r="A503" s="257">
        <v>44968</v>
      </c>
      <c r="B503" s="260">
        <v>0.36458333333333331</v>
      </c>
      <c r="C503" s="260">
        <v>0.54513888888888895</v>
      </c>
      <c r="D503" s="258">
        <f t="shared" ref="D503:D508" si="21">C503-B503</f>
        <v>0.18055555555555564</v>
      </c>
      <c r="E503" s="245" t="s">
        <v>933</v>
      </c>
      <c r="F503" s="252" t="s">
        <v>931</v>
      </c>
      <c r="G503" s="286" t="s">
        <v>932</v>
      </c>
    </row>
    <row r="504" spans="1:7" s="236" customFormat="1" x14ac:dyDescent="0.2">
      <c r="A504" s="257">
        <v>45089</v>
      </c>
      <c r="B504" s="258">
        <v>0.4375</v>
      </c>
      <c r="C504" s="258">
        <v>0.5625</v>
      </c>
      <c r="D504" s="258">
        <f t="shared" si="21"/>
        <v>0.125</v>
      </c>
      <c r="E504" s="242" t="s">
        <v>913</v>
      </c>
      <c r="F504" s="252" t="s">
        <v>935</v>
      </c>
      <c r="G504" s="286" t="s">
        <v>936</v>
      </c>
    </row>
    <row r="505" spans="1:7" s="236" customFormat="1" x14ac:dyDescent="0.2">
      <c r="A505" s="257">
        <v>45172</v>
      </c>
      <c r="B505" s="258">
        <v>0.28125</v>
      </c>
      <c r="C505" s="258">
        <v>0.80208333333333337</v>
      </c>
      <c r="D505" s="260">
        <f t="shared" si="21"/>
        <v>0.52083333333333337</v>
      </c>
      <c r="E505" s="242" t="s">
        <v>913</v>
      </c>
      <c r="F505" s="252" t="s">
        <v>941</v>
      </c>
      <c r="G505" s="286" t="s">
        <v>942</v>
      </c>
    </row>
    <row r="506" spans="1:7" s="236" customFormat="1" x14ac:dyDescent="0.2">
      <c r="A506" s="257">
        <v>45185</v>
      </c>
      <c r="B506" s="258">
        <v>0.29166666666666669</v>
      </c>
      <c r="C506" s="258">
        <v>0.83333333333333337</v>
      </c>
      <c r="D506" s="260">
        <f t="shared" si="21"/>
        <v>0.54166666666666674</v>
      </c>
      <c r="E506" s="242" t="s">
        <v>913</v>
      </c>
      <c r="F506" s="252" t="s">
        <v>944</v>
      </c>
      <c r="G506" s="286" t="s">
        <v>945</v>
      </c>
    </row>
    <row r="507" spans="1:7" s="236" customFormat="1" x14ac:dyDescent="0.2">
      <c r="A507" s="257">
        <v>45206</v>
      </c>
      <c r="B507" s="258">
        <v>0.5625</v>
      </c>
      <c r="C507" s="258">
        <v>0.85416666666666663</v>
      </c>
      <c r="D507" s="260">
        <f t="shared" si="21"/>
        <v>0.29166666666666663</v>
      </c>
      <c r="E507" s="242" t="s">
        <v>913</v>
      </c>
      <c r="F507" s="252" t="s">
        <v>950</v>
      </c>
      <c r="G507" s="286" t="s">
        <v>947</v>
      </c>
    </row>
    <row r="508" spans="1:7" s="236" customFormat="1" x14ac:dyDescent="0.2">
      <c r="A508" s="257">
        <v>45207</v>
      </c>
      <c r="B508" s="258">
        <v>0.39583333333333331</v>
      </c>
      <c r="C508" s="258">
        <v>0.75</v>
      </c>
      <c r="D508" s="260">
        <f t="shared" si="21"/>
        <v>0.35416666666666669</v>
      </c>
      <c r="E508" s="242" t="s">
        <v>913</v>
      </c>
      <c r="F508" s="252" t="s">
        <v>949</v>
      </c>
      <c r="G508" s="286" t="s">
        <v>948</v>
      </c>
    </row>
    <row r="509" spans="1:7" s="236" customFormat="1" x14ac:dyDescent="0.2">
      <c r="A509" s="257">
        <v>45313</v>
      </c>
      <c r="B509" s="258">
        <v>0.49652777777777773</v>
      </c>
      <c r="C509" s="260">
        <v>0.50347222222222221</v>
      </c>
      <c r="D509" s="258">
        <f t="shared" ref="D509:D515" si="22">C509-B509</f>
        <v>6.9444444444444753E-3</v>
      </c>
      <c r="E509" s="242" t="s">
        <v>913</v>
      </c>
      <c r="F509" s="252" t="s">
        <v>524</v>
      </c>
      <c r="G509" s="286" t="s">
        <v>951</v>
      </c>
    </row>
    <row r="510" spans="1:7" s="236" customFormat="1" x14ac:dyDescent="0.2">
      <c r="A510" s="257">
        <v>45431</v>
      </c>
      <c r="B510" s="258">
        <v>0.375</v>
      </c>
      <c r="C510" s="260">
        <v>0.5</v>
      </c>
      <c r="D510" s="258">
        <f t="shared" si="22"/>
        <v>0.125</v>
      </c>
      <c r="E510" s="242" t="s">
        <v>913</v>
      </c>
      <c r="F510" s="252" t="s">
        <v>524</v>
      </c>
      <c r="G510" s="286" t="s">
        <v>953</v>
      </c>
    </row>
    <row r="511" spans="1:7" s="236" customFormat="1" x14ac:dyDescent="0.2">
      <c r="A511" s="257">
        <v>45448</v>
      </c>
      <c r="B511" s="258">
        <v>0.3125</v>
      </c>
      <c r="C511" s="260">
        <v>0.52083333333333337</v>
      </c>
      <c r="D511" s="258">
        <f t="shared" si="22"/>
        <v>0.20833333333333337</v>
      </c>
      <c r="E511" s="242" t="s">
        <v>913</v>
      </c>
      <c r="F511" s="252" t="s">
        <v>524</v>
      </c>
      <c r="G511" s="286" t="s">
        <v>954</v>
      </c>
    </row>
    <row r="512" spans="1:7" s="236" customFormat="1" x14ac:dyDescent="0.2">
      <c r="A512" s="257">
        <v>45461</v>
      </c>
      <c r="B512" s="258">
        <v>0.3125</v>
      </c>
      <c r="C512" s="260">
        <v>0.52083333333333337</v>
      </c>
      <c r="D512" s="258">
        <f t="shared" si="22"/>
        <v>0.20833333333333337</v>
      </c>
      <c r="E512" s="242" t="s">
        <v>913</v>
      </c>
      <c r="F512" s="252" t="s">
        <v>956</v>
      </c>
      <c r="G512" s="286" t="s">
        <v>963</v>
      </c>
    </row>
    <row r="513" spans="1:7" s="236" customFormat="1" x14ac:dyDescent="0.2">
      <c r="A513" s="257">
        <v>45475</v>
      </c>
      <c r="B513" s="258">
        <v>0.39583333333333331</v>
      </c>
      <c r="C513" s="260">
        <v>0.52083333333333337</v>
      </c>
      <c r="D513" s="258">
        <f t="shared" si="22"/>
        <v>0.12500000000000006</v>
      </c>
      <c r="E513" s="242" t="s">
        <v>913</v>
      </c>
      <c r="F513" s="252" t="s">
        <v>959</v>
      </c>
      <c r="G513" s="286" t="s">
        <v>960</v>
      </c>
    </row>
    <row r="514" spans="1:7" s="236" customFormat="1" x14ac:dyDescent="0.2">
      <c r="A514" s="257">
        <v>45545</v>
      </c>
      <c r="B514" s="258">
        <v>0.3125</v>
      </c>
      <c r="C514" s="260">
        <v>0.47916666666666669</v>
      </c>
      <c r="D514" s="258">
        <f t="shared" si="22"/>
        <v>0.16666666666666669</v>
      </c>
      <c r="E514" s="242" t="s">
        <v>913</v>
      </c>
      <c r="F514" s="252" t="s">
        <v>524</v>
      </c>
      <c r="G514" s="286" t="s">
        <v>961</v>
      </c>
    </row>
    <row r="515" spans="1:7" s="236" customFormat="1" x14ac:dyDescent="0.2">
      <c r="A515" s="257">
        <v>45585</v>
      </c>
      <c r="B515" s="258">
        <v>0.35416666666666669</v>
      </c>
      <c r="C515" s="260">
        <v>0.52083333333333337</v>
      </c>
      <c r="D515" s="258">
        <f t="shared" si="22"/>
        <v>0.16666666666666669</v>
      </c>
      <c r="E515" s="242" t="s">
        <v>913</v>
      </c>
      <c r="F515" s="252" t="s">
        <v>964</v>
      </c>
      <c r="G515" s="286" t="s">
        <v>965</v>
      </c>
    </row>
    <row r="516" spans="1:7" s="236" customFormat="1" x14ac:dyDescent="0.2">
      <c r="A516" s="257">
        <v>45676</v>
      </c>
      <c r="B516" s="260">
        <v>0.5625</v>
      </c>
      <c r="C516" s="260">
        <v>0.79861111111111116</v>
      </c>
      <c r="D516" s="258">
        <f>C516-B516</f>
        <v>0.23611111111111116</v>
      </c>
      <c r="E516" s="242" t="s">
        <v>913</v>
      </c>
      <c r="F516" s="252" t="s">
        <v>971</v>
      </c>
      <c r="G516" s="252" t="s">
        <v>970</v>
      </c>
    </row>
    <row r="517" spans="1:7" s="236" customFormat="1" x14ac:dyDescent="0.2">
      <c r="A517" s="257">
        <v>45678</v>
      </c>
      <c r="B517" s="260">
        <v>0.51041666666666663</v>
      </c>
      <c r="C517" s="260">
        <v>0.78125</v>
      </c>
      <c r="D517" s="258">
        <f>C517-B517</f>
        <v>0.27083333333333337</v>
      </c>
      <c r="E517" s="242" t="s">
        <v>913</v>
      </c>
      <c r="F517" s="252" t="s">
        <v>972</v>
      </c>
      <c r="G517" s="252" t="s">
        <v>970</v>
      </c>
    </row>
    <row r="518" spans="1:7" s="236" customFormat="1" x14ac:dyDescent="0.2">
      <c r="A518" s="257">
        <v>45725</v>
      </c>
      <c r="B518" s="260">
        <v>0.54166666666666663</v>
      </c>
      <c r="C518" s="260">
        <v>0.75</v>
      </c>
      <c r="D518" s="258">
        <f>C518-B518</f>
        <v>0.20833333333333337</v>
      </c>
      <c r="E518" s="242" t="s">
        <v>913</v>
      </c>
      <c r="F518" s="252" t="s">
        <v>972</v>
      </c>
      <c r="G518" s="252" t="s">
        <v>975</v>
      </c>
    </row>
    <row r="519" spans="1:7" s="236" customFormat="1" x14ac:dyDescent="0.2">
      <c r="A519" s="257">
        <v>45730</v>
      </c>
      <c r="B519" s="260">
        <v>0.66666666666666663</v>
      </c>
      <c r="C519" s="260">
        <v>0.77083333333333337</v>
      </c>
      <c r="D519" s="258">
        <f>C519-B519</f>
        <v>0.10416666666666674</v>
      </c>
      <c r="E519" s="242" t="s">
        <v>913</v>
      </c>
      <c r="F519" s="252" t="s">
        <v>972</v>
      </c>
      <c r="G519" s="252" t="s">
        <v>975</v>
      </c>
    </row>
    <row r="520" spans="1:7" s="236" customFormat="1" x14ac:dyDescent="0.2">
      <c r="A520" s="257">
        <v>45844</v>
      </c>
      <c r="B520" s="260">
        <v>0.29166666666666669</v>
      </c>
      <c r="C520" s="260">
        <v>0.64583333333333337</v>
      </c>
      <c r="D520" s="258">
        <f>C520-B520</f>
        <v>0.35416666666666669</v>
      </c>
      <c r="E520" s="242" t="s">
        <v>913</v>
      </c>
      <c r="F520" s="252" t="s">
        <v>941</v>
      </c>
      <c r="G520" s="293" t="s">
        <v>976</v>
      </c>
    </row>
    <row r="521" spans="1:7" s="236" customFormat="1" x14ac:dyDescent="0.2">
      <c r="A521" s="257">
        <v>45864</v>
      </c>
      <c r="B521" s="260">
        <v>0.73958333333333337</v>
      </c>
      <c r="C521" s="260">
        <v>1.0416666666666666E-2</v>
      </c>
      <c r="D521" s="258">
        <v>0.27083333333333331</v>
      </c>
      <c r="E521" s="242" t="s">
        <v>913</v>
      </c>
      <c r="F521" s="252" t="s">
        <v>977</v>
      </c>
      <c r="G521" s="252" t="s">
        <v>978</v>
      </c>
    </row>
    <row r="522" spans="1:7" s="236" customFormat="1" x14ac:dyDescent="0.2">
      <c r="A522" s="257">
        <v>45892</v>
      </c>
      <c r="B522" s="260">
        <v>0.41666666666666669</v>
      </c>
      <c r="C522" s="260">
        <v>0.58333333333333337</v>
      </c>
      <c r="D522" s="258">
        <f>C522-B522</f>
        <v>0.16666666666666669</v>
      </c>
      <c r="E522" s="242" t="s">
        <v>913</v>
      </c>
      <c r="F522" s="252" t="s">
        <v>979</v>
      </c>
      <c r="G522" s="252" t="s">
        <v>980</v>
      </c>
    </row>
    <row r="523" spans="1:7" s="236" customFormat="1" x14ac:dyDescent="0.2">
      <c r="A523" s="257">
        <v>45920</v>
      </c>
      <c r="B523" s="260">
        <v>0.375</v>
      </c>
      <c r="C523" s="260">
        <v>0.83333333333333337</v>
      </c>
      <c r="D523" s="258">
        <f>C523-B523</f>
        <v>0.45833333333333337</v>
      </c>
      <c r="E523" s="242" t="s">
        <v>913</v>
      </c>
      <c r="F523" s="252" t="s">
        <v>888</v>
      </c>
      <c r="G523" s="293" t="s">
        <v>1002</v>
      </c>
    </row>
    <row r="524" spans="1:7" s="236" customFormat="1" x14ac:dyDescent="0.2">
      <c r="A524" s="257">
        <v>45921</v>
      </c>
      <c r="B524" s="260">
        <v>0.58333333333333337</v>
      </c>
      <c r="C524" s="260">
        <v>0.66666666666666663</v>
      </c>
      <c r="D524" s="258">
        <f>C524-B524</f>
        <v>8.3333333333333259E-2</v>
      </c>
      <c r="E524" s="280" t="s">
        <v>983</v>
      </c>
      <c r="F524" s="252" t="s">
        <v>981</v>
      </c>
      <c r="G524" s="252" t="s">
        <v>982</v>
      </c>
    </row>
    <row r="525" spans="1:7" s="236" customFormat="1" x14ac:dyDescent="0.2">
      <c r="A525" s="257">
        <v>45931</v>
      </c>
      <c r="B525" s="291">
        <v>0.79166666666666663</v>
      </c>
      <c r="C525" s="292">
        <v>0.84027777777777779</v>
      </c>
      <c r="D525" s="258">
        <f>C525-B525</f>
        <v>4.861111111111116E-2</v>
      </c>
      <c r="E525" s="242" t="s">
        <v>913</v>
      </c>
      <c r="F525" s="252" t="s">
        <v>888</v>
      </c>
      <c r="G525" s="293" t="s">
        <v>1003</v>
      </c>
    </row>
    <row r="526" spans="1:7" s="236" customFormat="1" x14ac:dyDescent="0.2">
      <c r="A526" s="257">
        <v>46052</v>
      </c>
      <c r="B526" s="291">
        <v>0.5</v>
      </c>
      <c r="C526" s="292">
        <v>0.75</v>
      </c>
      <c r="D526" s="258">
        <f t="shared" ref="D526:D539" si="23">C526-B526</f>
        <v>0.25</v>
      </c>
      <c r="E526" s="294" t="s">
        <v>983</v>
      </c>
      <c r="F526" s="252" t="s">
        <v>984</v>
      </c>
      <c r="G526" s="252" t="s">
        <v>985</v>
      </c>
    </row>
    <row r="527" spans="1:7" s="236" customFormat="1" x14ac:dyDescent="0.2">
      <c r="A527" s="257">
        <v>46065</v>
      </c>
      <c r="B527" s="291">
        <v>0.75</v>
      </c>
      <c r="C527" s="292">
        <v>0.82291666666666663</v>
      </c>
      <c r="D527" s="258">
        <f t="shared" si="23"/>
        <v>7.291666666666663E-2</v>
      </c>
      <c r="E527" s="295" t="s">
        <v>913</v>
      </c>
      <c r="F527" s="252" t="s">
        <v>988</v>
      </c>
      <c r="G527" s="252" t="s">
        <v>989</v>
      </c>
    </row>
    <row r="528" spans="1:7" s="236" customFormat="1" x14ac:dyDescent="0.2">
      <c r="A528" s="257">
        <v>46065</v>
      </c>
      <c r="B528" s="291">
        <v>0.875</v>
      </c>
      <c r="C528" s="292">
        <v>0.95486111111111116</v>
      </c>
      <c r="D528" s="258">
        <f t="shared" si="23"/>
        <v>7.986111111111116E-2</v>
      </c>
      <c r="E528" s="295" t="s">
        <v>913</v>
      </c>
      <c r="F528" s="252" t="s">
        <v>524</v>
      </c>
      <c r="G528" s="293" t="s">
        <v>1004</v>
      </c>
    </row>
    <row r="529" spans="1:7" s="236" customFormat="1" x14ac:dyDescent="0.2">
      <c r="A529" s="257">
        <v>46078</v>
      </c>
      <c r="B529" s="291">
        <v>0.41666666666666669</v>
      </c>
      <c r="C529" s="292">
        <v>0.45833333333333331</v>
      </c>
      <c r="D529" s="258">
        <f t="shared" si="23"/>
        <v>4.166666666666663E-2</v>
      </c>
      <c r="E529" s="295" t="s">
        <v>913</v>
      </c>
      <c r="F529" s="252" t="s">
        <v>990</v>
      </c>
      <c r="G529" s="252" t="s">
        <v>991</v>
      </c>
    </row>
    <row r="530" spans="1:7" s="236" customFormat="1" x14ac:dyDescent="0.2">
      <c r="A530" s="257">
        <v>46120</v>
      </c>
      <c r="B530" s="291">
        <v>0.875</v>
      </c>
      <c r="C530" s="292">
        <v>0.96875</v>
      </c>
      <c r="D530" s="258">
        <f t="shared" si="23"/>
        <v>9.375E-2</v>
      </c>
      <c r="E530" s="295" t="s">
        <v>913</v>
      </c>
      <c r="F530" s="252" t="s">
        <v>1005</v>
      </c>
      <c r="G530" s="293" t="s">
        <v>1006</v>
      </c>
    </row>
    <row r="531" spans="1:7" s="236" customFormat="1" x14ac:dyDescent="0.2">
      <c r="A531" s="257">
        <v>46130</v>
      </c>
      <c r="B531" s="291">
        <v>0.37847222222222221</v>
      </c>
      <c r="C531" s="292">
        <v>0.4375</v>
      </c>
      <c r="D531" s="258">
        <f t="shared" si="23"/>
        <v>5.902777777777779E-2</v>
      </c>
      <c r="E531" s="295" t="s">
        <v>913</v>
      </c>
      <c r="F531" s="252" t="s">
        <v>888</v>
      </c>
      <c r="G531" s="293" t="s">
        <v>1007</v>
      </c>
    </row>
    <row r="532" spans="1:7" s="236" customFormat="1" x14ac:dyDescent="0.2">
      <c r="A532" s="257">
        <v>46149</v>
      </c>
      <c r="B532" s="291">
        <v>0.58333333333333337</v>
      </c>
      <c r="C532" s="292">
        <v>0.60416666666666663</v>
      </c>
      <c r="D532" s="258">
        <f t="shared" si="23"/>
        <v>2.0833333333333259E-2</v>
      </c>
      <c r="E532" s="295" t="s">
        <v>913</v>
      </c>
      <c r="F532" s="252" t="s">
        <v>988</v>
      </c>
      <c r="G532" s="252" t="s">
        <v>992</v>
      </c>
    </row>
    <row r="533" spans="1:7" s="236" customFormat="1" x14ac:dyDescent="0.2">
      <c r="A533" s="257">
        <v>46155</v>
      </c>
      <c r="B533" s="291">
        <v>0.60416666666666663</v>
      </c>
      <c r="C533" s="292">
        <v>0.64583333333333337</v>
      </c>
      <c r="D533" s="258">
        <f t="shared" si="23"/>
        <v>4.1666666666666741E-2</v>
      </c>
      <c r="E533" s="295" t="s">
        <v>913</v>
      </c>
      <c r="F533" s="252" t="s">
        <v>993</v>
      </c>
      <c r="G533" s="252" t="s">
        <v>994</v>
      </c>
    </row>
    <row r="534" spans="1:7" s="236" customFormat="1" x14ac:dyDescent="0.2">
      <c r="A534" s="257">
        <v>46191</v>
      </c>
      <c r="B534" s="291">
        <v>0.875</v>
      </c>
      <c r="C534" s="292">
        <v>0.97569444444444442</v>
      </c>
      <c r="D534" s="258">
        <f t="shared" si="23"/>
        <v>0.10069444444444442</v>
      </c>
      <c r="E534" s="295" t="s">
        <v>913</v>
      </c>
      <c r="F534" s="252" t="s">
        <v>888</v>
      </c>
      <c r="G534" s="293" t="s">
        <v>1006</v>
      </c>
    </row>
    <row r="535" spans="1:7" s="236" customFormat="1" x14ac:dyDescent="0.2">
      <c r="A535" s="257">
        <v>46196</v>
      </c>
      <c r="B535" s="291">
        <v>0.45833333333333331</v>
      </c>
      <c r="C535" s="292">
        <v>0.52083333333333337</v>
      </c>
      <c r="D535" s="258">
        <f t="shared" si="23"/>
        <v>6.2500000000000056E-2</v>
      </c>
      <c r="E535" s="295" t="s">
        <v>913</v>
      </c>
      <c r="F535" s="252" t="s">
        <v>988</v>
      </c>
      <c r="G535" s="252" t="s">
        <v>995</v>
      </c>
    </row>
    <row r="536" spans="1:7" s="236" customFormat="1" x14ac:dyDescent="0.2">
      <c r="A536" s="257">
        <v>46196</v>
      </c>
      <c r="B536" s="291">
        <v>0.71875</v>
      </c>
      <c r="C536" s="292">
        <v>0.9375</v>
      </c>
      <c r="D536" s="258">
        <f t="shared" si="23"/>
        <v>0.21875</v>
      </c>
      <c r="E536" s="295" t="s">
        <v>913</v>
      </c>
      <c r="F536" s="252" t="s">
        <v>996</v>
      </c>
      <c r="G536" s="252" t="s">
        <v>762</v>
      </c>
    </row>
    <row r="537" spans="1:7" s="236" customFormat="1" x14ac:dyDescent="0.2">
      <c r="A537" s="257">
        <v>46278</v>
      </c>
      <c r="B537" s="291">
        <v>0.58333333333333337</v>
      </c>
      <c r="C537" s="292">
        <v>0.80208333333333337</v>
      </c>
      <c r="D537" s="258">
        <f t="shared" si="23"/>
        <v>0.21875</v>
      </c>
      <c r="E537" s="295" t="s">
        <v>913</v>
      </c>
      <c r="F537" s="252" t="s">
        <v>997</v>
      </c>
      <c r="G537" s="252" t="s">
        <v>685</v>
      </c>
    </row>
    <row r="538" spans="1:7" s="236" customFormat="1" x14ac:dyDescent="0.2">
      <c r="A538" s="257">
        <v>46285</v>
      </c>
      <c r="B538" s="291">
        <v>0.41666666666666669</v>
      </c>
      <c r="C538" s="292">
        <v>0.51041666666666663</v>
      </c>
      <c r="D538" s="258">
        <f t="shared" si="23"/>
        <v>9.3749999999999944E-2</v>
      </c>
      <c r="E538" s="295" t="s">
        <v>913</v>
      </c>
      <c r="F538" s="252" t="s">
        <v>807</v>
      </c>
      <c r="G538" s="252" t="s">
        <v>999</v>
      </c>
    </row>
    <row r="539" spans="1:7" s="236" customFormat="1" x14ac:dyDescent="0.2">
      <c r="A539" s="257">
        <v>46302</v>
      </c>
      <c r="B539" s="291">
        <v>0.875</v>
      </c>
      <c r="C539" s="292">
        <v>0.99930555555555556</v>
      </c>
      <c r="D539" s="258">
        <f t="shared" si="23"/>
        <v>0.12430555555555556</v>
      </c>
      <c r="E539" s="295" t="s">
        <v>913</v>
      </c>
      <c r="F539" s="252" t="s">
        <v>1005</v>
      </c>
      <c r="G539" s="293" t="s">
        <v>1006</v>
      </c>
    </row>
    <row r="540" spans="1:7" s="236" customFormat="1" x14ac:dyDescent="0.2">
      <c r="A540" s="261"/>
      <c r="B540" s="256"/>
      <c r="C540" s="262"/>
      <c r="D540" s="262"/>
      <c r="E540" s="243"/>
      <c r="F540" s="231"/>
      <c r="G540" s="290"/>
    </row>
    <row r="541" spans="1:7" s="236" customFormat="1" x14ac:dyDescent="0.2">
      <c r="A541" s="261"/>
      <c r="B541" s="262"/>
      <c r="C541" s="262"/>
      <c r="D541" s="262"/>
      <c r="E541" s="243"/>
      <c r="F541" s="231"/>
      <c r="G541" s="290"/>
    </row>
    <row r="542" spans="1:7" s="236" customFormat="1" x14ac:dyDescent="0.2">
      <c r="A542" s="261"/>
      <c r="B542" s="262"/>
      <c r="C542" s="262"/>
      <c r="D542" s="262"/>
      <c r="E542" s="243"/>
      <c r="F542" s="231"/>
      <c r="G542" s="290"/>
    </row>
    <row r="543" spans="1:7" s="236" customFormat="1" x14ac:dyDescent="0.2">
      <c r="A543" s="261"/>
      <c r="B543" s="262"/>
      <c r="C543" s="262"/>
      <c r="D543" s="262"/>
      <c r="E543" s="243"/>
      <c r="F543" s="231"/>
      <c r="G543" s="290"/>
    </row>
    <row r="544" spans="1:7" s="236" customFormat="1" x14ac:dyDescent="0.2">
      <c r="A544" s="261"/>
      <c r="B544" s="262"/>
      <c r="C544" s="262"/>
      <c r="D544" s="262"/>
      <c r="E544" s="243"/>
      <c r="F544" s="231"/>
      <c r="G544" s="290"/>
    </row>
    <row r="545" spans="1:7" s="236" customFormat="1" x14ac:dyDescent="0.2">
      <c r="A545" s="261"/>
      <c r="B545" s="262"/>
      <c r="C545" s="262"/>
      <c r="D545" s="262"/>
      <c r="E545" s="243"/>
      <c r="F545" s="231"/>
      <c r="G545" s="290"/>
    </row>
    <row r="546" spans="1:7" s="236" customFormat="1" x14ac:dyDescent="0.2">
      <c r="A546" s="261"/>
      <c r="B546" s="262"/>
      <c r="C546" s="262"/>
      <c r="D546" s="262"/>
      <c r="E546" s="243"/>
      <c r="F546" s="231"/>
      <c r="G546" s="290"/>
    </row>
    <row r="547" spans="1:7" s="236" customFormat="1" x14ac:dyDescent="0.2">
      <c r="A547" s="261"/>
      <c r="B547" s="262"/>
      <c r="C547" s="262"/>
      <c r="D547" s="262"/>
      <c r="E547" s="243"/>
      <c r="F547" s="231"/>
      <c r="G547" s="290"/>
    </row>
    <row r="548" spans="1:7" s="236" customFormat="1" x14ac:dyDescent="0.2">
      <c r="A548" s="261"/>
      <c r="B548" s="262"/>
      <c r="C548" s="262"/>
      <c r="D548" s="262"/>
      <c r="E548" s="243"/>
      <c r="F548" s="231"/>
      <c r="G548" s="290"/>
    </row>
    <row r="549" spans="1:7" s="236" customFormat="1" x14ac:dyDescent="0.2">
      <c r="A549" s="261"/>
      <c r="B549" s="262"/>
      <c r="C549" s="262"/>
      <c r="D549" s="262"/>
      <c r="E549" s="243"/>
      <c r="F549" s="231"/>
      <c r="G549" s="290"/>
    </row>
    <row r="550" spans="1:7" s="236" customFormat="1" x14ac:dyDescent="0.2">
      <c r="A550" s="261"/>
      <c r="B550" s="262"/>
      <c r="C550" s="262"/>
      <c r="D550" s="262"/>
      <c r="E550" s="243"/>
      <c r="F550" s="231"/>
      <c r="G550" s="290"/>
    </row>
    <row r="551" spans="1:7" s="236" customFormat="1" x14ac:dyDescent="0.2">
      <c r="A551" s="261"/>
      <c r="B551" s="262"/>
      <c r="C551" s="262"/>
      <c r="D551" s="262"/>
      <c r="E551" s="243"/>
      <c r="F551" s="231"/>
      <c r="G551" s="290"/>
    </row>
    <row r="552" spans="1:7" s="236" customFormat="1" x14ac:dyDescent="0.2">
      <c r="A552" s="261"/>
      <c r="B552" s="262"/>
      <c r="C552" s="262"/>
      <c r="D552" s="262"/>
      <c r="E552" s="243"/>
      <c r="F552" s="231"/>
      <c r="G552" s="290"/>
    </row>
    <row r="553" spans="1:7" s="236" customFormat="1" x14ac:dyDescent="0.2">
      <c r="A553" s="261"/>
      <c r="B553" s="262"/>
      <c r="C553" s="262"/>
      <c r="D553" s="262"/>
      <c r="E553" s="243"/>
      <c r="F553" s="231"/>
      <c r="G553" s="290"/>
    </row>
    <row r="554" spans="1:7" s="236" customFormat="1" x14ac:dyDescent="0.2">
      <c r="A554" s="261"/>
      <c r="B554" s="262"/>
      <c r="C554" s="262"/>
      <c r="D554" s="262"/>
      <c r="E554" s="243"/>
      <c r="F554" s="231"/>
      <c r="G554" s="290"/>
    </row>
    <row r="555" spans="1:7" s="236" customFormat="1" x14ac:dyDescent="0.2">
      <c r="A555" s="261"/>
      <c r="B555" s="262"/>
      <c r="C555" s="262"/>
      <c r="D555" s="262"/>
      <c r="E555" s="243"/>
      <c r="F555" s="231"/>
      <c r="G555" s="290"/>
    </row>
    <row r="556" spans="1:7" s="236" customFormat="1" x14ac:dyDescent="0.2">
      <c r="A556" s="261"/>
      <c r="B556" s="262"/>
      <c r="C556" s="262"/>
      <c r="D556" s="262"/>
      <c r="E556" s="243"/>
      <c r="F556" s="231"/>
      <c r="G556" s="290"/>
    </row>
    <row r="557" spans="1:7" s="236" customFormat="1" x14ac:dyDescent="0.2">
      <c r="A557" s="261"/>
      <c r="B557" s="262"/>
      <c r="C557" s="262"/>
      <c r="D557" s="262"/>
      <c r="E557" s="243"/>
      <c r="F557" s="231"/>
      <c r="G557" s="290"/>
    </row>
    <row r="558" spans="1:7" s="236" customFormat="1" x14ac:dyDescent="0.2">
      <c r="A558" s="261"/>
      <c r="B558" s="262"/>
      <c r="C558" s="262"/>
      <c r="D558" s="262"/>
      <c r="E558" s="243"/>
      <c r="F558" s="231"/>
      <c r="G558" s="290"/>
    </row>
    <row r="559" spans="1:7" s="236" customFormat="1" x14ac:dyDescent="0.2">
      <c r="A559" s="261"/>
      <c r="B559" s="262"/>
      <c r="C559" s="262"/>
      <c r="D559" s="262"/>
      <c r="E559" s="243"/>
      <c r="F559" s="231"/>
      <c r="G559" s="290"/>
    </row>
  </sheetData>
  <phoneticPr fontId="9" type="noConversion"/>
  <pageMargins left="0.11811023622047245" right="0.11811023622047245" top="0.47244094488188981" bottom="0.15748031496062992" header="0.11811023622047245" footer="7.874015748031496E-2"/>
  <pageSetup paperSize="9" scale="59" fitToHeight="0" orientation="landscape" horizontalDpi="4294967293" r:id="rId1"/>
  <headerFooter>
    <oddHeader>&amp;R&amp;P</oddHeader>
  </headerFooter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A02C-7DC5-4D1B-BE27-9C5D2A813019}">
  <sheetPr>
    <pageSetUpPr fitToPage="1"/>
  </sheetPr>
  <dimension ref="A1:K56"/>
  <sheetViews>
    <sheetView workbookViewId="0">
      <selection activeCell="G19" sqref="G19"/>
    </sheetView>
  </sheetViews>
  <sheetFormatPr defaultRowHeight="18" x14ac:dyDescent="0.2"/>
  <cols>
    <col min="1" max="1" width="4.28515625" style="48" customWidth="1"/>
    <col min="2" max="2" width="8.42578125" style="256" customWidth="1"/>
    <col min="3" max="3" width="4" style="231" customWidth="1"/>
    <col min="4" max="4" width="15.42578125" style="261" bestFit="1" customWidth="1"/>
    <col min="5" max="5" width="12.42578125" style="262" customWidth="1"/>
    <col min="6" max="6" width="9.42578125" style="262" customWidth="1"/>
    <col min="7" max="7" width="10.140625" style="262" customWidth="1"/>
    <col min="8" max="8" width="7.7109375" style="233" customWidth="1"/>
    <col min="9" max="9" width="16.85546875" style="200" bestFit="1" customWidth="1"/>
    <col min="10" max="10" width="75.140625" style="231" bestFit="1" customWidth="1"/>
    <col min="11" max="11" width="84" style="231" bestFit="1" customWidth="1"/>
    <col min="12" max="14" width="9.140625" style="198"/>
    <col min="15" max="15" width="10.140625" style="198" bestFit="1" customWidth="1"/>
    <col min="16" max="16384" width="9.140625" style="198"/>
  </cols>
  <sheetData>
    <row r="1" spans="1:11" ht="24.75" customHeight="1" x14ac:dyDescent="0.2">
      <c r="A1" s="385"/>
      <c r="B1" s="385"/>
      <c r="C1" s="386" t="s">
        <v>909</v>
      </c>
      <c r="D1" s="388" t="s">
        <v>1</v>
      </c>
      <c r="E1" s="389" t="s">
        <v>772</v>
      </c>
      <c r="F1" s="389" t="s">
        <v>773</v>
      </c>
      <c r="G1" s="390" t="s">
        <v>910</v>
      </c>
      <c r="H1" s="380" t="s">
        <v>911</v>
      </c>
      <c r="I1" s="382"/>
      <c r="J1" s="384" t="s">
        <v>529</v>
      </c>
      <c r="K1" s="384" t="s">
        <v>897</v>
      </c>
    </row>
    <row r="2" spans="1:11" ht="22.5" customHeight="1" x14ac:dyDescent="0.2">
      <c r="A2" s="385"/>
      <c r="B2" s="385"/>
      <c r="C2" s="387"/>
      <c r="D2" s="388"/>
      <c r="E2" s="389"/>
      <c r="F2" s="389"/>
      <c r="G2" s="390"/>
      <c r="H2" s="381"/>
      <c r="I2" s="383"/>
      <c r="J2" s="384"/>
      <c r="K2" s="384"/>
    </row>
    <row r="3" spans="1:11" ht="15" customHeight="1" x14ac:dyDescent="0.2">
      <c r="D3" s="265"/>
      <c r="E3" s="266"/>
      <c r="F3" s="266"/>
      <c r="G3" s="266"/>
      <c r="H3" s="232"/>
      <c r="I3" s="188"/>
      <c r="J3" s="264"/>
      <c r="K3" s="264"/>
    </row>
    <row r="4" spans="1:11" s="236" customFormat="1" ht="20.100000000000001" customHeight="1" x14ac:dyDescent="0.2">
      <c r="A4" s="246"/>
      <c r="B4" s="284">
        <f>C5</f>
        <v>7</v>
      </c>
      <c r="C4" s="272"/>
      <c r="D4" s="267">
        <v>2024</v>
      </c>
      <c r="E4" s="370">
        <f>H5</f>
        <v>3.1284722222222223</v>
      </c>
      <c r="F4" s="371"/>
      <c r="G4" s="273"/>
      <c r="H4" s="276"/>
      <c r="I4" s="274"/>
      <c r="J4" s="275"/>
      <c r="K4" s="275"/>
    </row>
    <row r="5" spans="1:11" s="236" customFormat="1" ht="20.100000000000001" customHeight="1" x14ac:dyDescent="0.2">
      <c r="A5" s="246">
        <v>1</v>
      </c>
      <c r="B5" s="263">
        <v>1</v>
      </c>
      <c r="C5" s="378">
        <f>SUM(A5:A11)</f>
        <v>7</v>
      </c>
      <c r="D5" s="257">
        <v>45313</v>
      </c>
      <c r="E5" s="258">
        <v>0.49652777777777773</v>
      </c>
      <c r="F5" s="260">
        <v>0.50347222222222221</v>
      </c>
      <c r="G5" s="258">
        <f t="shared" ref="G5:G11" si="0">F5-E5</f>
        <v>6.9444444444444753E-3</v>
      </c>
      <c r="H5" s="379">
        <f>SUM(G5:G29)</f>
        <v>3.1284722222222223</v>
      </c>
      <c r="I5" s="242" t="s">
        <v>913</v>
      </c>
      <c r="J5" s="252" t="s">
        <v>524</v>
      </c>
      <c r="K5" s="252" t="s">
        <v>951</v>
      </c>
    </row>
    <row r="6" spans="1:11" s="236" customFormat="1" ht="20.100000000000001" customHeight="1" x14ac:dyDescent="0.2">
      <c r="A6" s="246">
        <v>1</v>
      </c>
      <c r="B6" s="263">
        <v>1</v>
      </c>
      <c r="C6" s="378"/>
      <c r="D6" s="257">
        <v>45431</v>
      </c>
      <c r="E6" s="258">
        <v>0.375</v>
      </c>
      <c r="F6" s="260">
        <v>0.5</v>
      </c>
      <c r="G6" s="258">
        <f t="shared" si="0"/>
        <v>0.125</v>
      </c>
      <c r="H6" s="379"/>
      <c r="I6" s="242" t="s">
        <v>913</v>
      </c>
      <c r="J6" s="252" t="s">
        <v>524</v>
      </c>
      <c r="K6" s="252" t="s">
        <v>953</v>
      </c>
    </row>
    <row r="7" spans="1:11" s="236" customFormat="1" ht="20.100000000000001" customHeight="1" x14ac:dyDescent="0.2">
      <c r="A7" s="246">
        <v>1</v>
      </c>
      <c r="B7" s="263">
        <v>1</v>
      </c>
      <c r="C7" s="378"/>
      <c r="D7" s="257">
        <v>45448</v>
      </c>
      <c r="E7" s="258">
        <v>0.3125</v>
      </c>
      <c r="F7" s="260">
        <v>0.52083333333333337</v>
      </c>
      <c r="G7" s="258">
        <f t="shared" si="0"/>
        <v>0.20833333333333337</v>
      </c>
      <c r="H7" s="379"/>
      <c r="I7" s="242" t="s">
        <v>913</v>
      </c>
      <c r="J7" s="252" t="s">
        <v>524</v>
      </c>
      <c r="K7" s="252" t="s">
        <v>954</v>
      </c>
    </row>
    <row r="8" spans="1:11" s="236" customFormat="1" ht="20.100000000000001" customHeight="1" x14ac:dyDescent="0.2">
      <c r="A8" s="246">
        <v>1</v>
      </c>
      <c r="B8" s="263">
        <v>1</v>
      </c>
      <c r="C8" s="378"/>
      <c r="D8" s="257">
        <v>45461</v>
      </c>
      <c r="E8" s="258">
        <v>0.3125</v>
      </c>
      <c r="F8" s="260">
        <v>0.52083333333333337</v>
      </c>
      <c r="G8" s="258">
        <f t="shared" si="0"/>
        <v>0.20833333333333337</v>
      </c>
      <c r="H8" s="379"/>
      <c r="I8" s="242" t="s">
        <v>913</v>
      </c>
      <c r="J8" s="252" t="s">
        <v>956</v>
      </c>
      <c r="K8" s="252" t="s">
        <v>963</v>
      </c>
    </row>
    <row r="9" spans="1:11" s="236" customFormat="1" ht="20.100000000000001" customHeight="1" x14ac:dyDescent="0.2">
      <c r="A9" s="246">
        <v>1</v>
      </c>
      <c r="B9" s="263">
        <v>1</v>
      </c>
      <c r="C9" s="378"/>
      <c r="D9" s="257">
        <v>45475</v>
      </c>
      <c r="E9" s="258">
        <v>0.39583333333333331</v>
      </c>
      <c r="F9" s="260">
        <v>0.52083333333333337</v>
      </c>
      <c r="G9" s="258">
        <f t="shared" si="0"/>
        <v>0.12500000000000006</v>
      </c>
      <c r="H9" s="379"/>
      <c r="I9" s="242" t="s">
        <v>913</v>
      </c>
      <c r="J9" s="252" t="s">
        <v>959</v>
      </c>
      <c r="K9" s="252" t="s">
        <v>960</v>
      </c>
    </row>
    <row r="10" spans="1:11" s="236" customFormat="1" ht="20.100000000000001" customHeight="1" x14ac:dyDescent="0.2">
      <c r="A10" s="246">
        <v>1</v>
      </c>
      <c r="B10" s="263">
        <v>1</v>
      </c>
      <c r="C10" s="378"/>
      <c r="D10" s="257">
        <v>45545</v>
      </c>
      <c r="E10" s="258">
        <v>0.3125</v>
      </c>
      <c r="F10" s="260">
        <v>0.47916666666666669</v>
      </c>
      <c r="G10" s="258">
        <f t="shared" si="0"/>
        <v>0.16666666666666669</v>
      </c>
      <c r="H10" s="379"/>
      <c r="I10" s="242" t="s">
        <v>913</v>
      </c>
      <c r="J10" s="252" t="s">
        <v>524</v>
      </c>
      <c r="K10" s="252" t="s">
        <v>961</v>
      </c>
    </row>
    <row r="11" spans="1:11" s="236" customFormat="1" ht="20.100000000000001" customHeight="1" x14ac:dyDescent="0.2">
      <c r="A11" s="246">
        <v>1</v>
      </c>
      <c r="B11" s="263">
        <v>1</v>
      </c>
      <c r="C11" s="378"/>
      <c r="D11" s="257">
        <v>45585</v>
      </c>
      <c r="E11" s="258">
        <v>0.35416666666666669</v>
      </c>
      <c r="F11" s="260">
        <v>0.52083333333333337</v>
      </c>
      <c r="G11" s="258">
        <f t="shared" si="0"/>
        <v>0.16666666666666669</v>
      </c>
      <c r="H11" s="379"/>
      <c r="I11" s="242" t="s">
        <v>913</v>
      </c>
      <c r="J11" s="252" t="s">
        <v>964</v>
      </c>
      <c r="K11" s="252" t="s">
        <v>965</v>
      </c>
    </row>
    <row r="12" spans="1:11" s="236" customFormat="1" ht="20.100000000000001" customHeight="1" x14ac:dyDescent="0.2">
      <c r="A12" s="246"/>
      <c r="B12" s="284">
        <f>C13</f>
        <v>8</v>
      </c>
      <c r="C12" s="272"/>
      <c r="D12" s="267">
        <v>2025</v>
      </c>
      <c r="E12" s="370">
        <f>H13</f>
        <v>1.6944444444444446</v>
      </c>
      <c r="F12" s="371"/>
      <c r="G12" s="273"/>
      <c r="H12" s="276"/>
      <c r="I12" s="274"/>
      <c r="J12" s="275"/>
      <c r="K12" s="275"/>
    </row>
    <row r="13" spans="1:11" s="236" customFormat="1" ht="20.100000000000001" customHeight="1" x14ac:dyDescent="0.2">
      <c r="A13" s="246">
        <v>1</v>
      </c>
      <c r="B13" s="263">
        <v>1</v>
      </c>
      <c r="C13" s="372">
        <f>SUM(A13:A20)</f>
        <v>8</v>
      </c>
      <c r="D13" s="257">
        <v>45676</v>
      </c>
      <c r="E13" s="260">
        <v>0.5625</v>
      </c>
      <c r="F13" s="260">
        <v>0.79861111111111116</v>
      </c>
      <c r="G13" s="258">
        <f>F13-E13</f>
        <v>0.23611111111111116</v>
      </c>
      <c r="H13" s="373">
        <f>SUM(G13:G20)</f>
        <v>1.6944444444444446</v>
      </c>
      <c r="I13" s="242" t="s">
        <v>913</v>
      </c>
      <c r="J13" s="252" t="s">
        <v>971</v>
      </c>
      <c r="K13" s="252" t="s">
        <v>970</v>
      </c>
    </row>
    <row r="14" spans="1:11" s="236" customFormat="1" ht="20.100000000000001" customHeight="1" x14ac:dyDescent="0.2">
      <c r="A14" s="246">
        <v>1</v>
      </c>
      <c r="B14" s="263">
        <v>1</v>
      </c>
      <c r="C14" s="372"/>
      <c r="D14" s="257">
        <v>45678</v>
      </c>
      <c r="E14" s="260">
        <v>0.51041666666666663</v>
      </c>
      <c r="F14" s="260">
        <v>0.78125</v>
      </c>
      <c r="G14" s="258">
        <f>F14-E14</f>
        <v>0.27083333333333337</v>
      </c>
      <c r="H14" s="374"/>
      <c r="I14" s="242" t="s">
        <v>913</v>
      </c>
      <c r="J14" s="252" t="s">
        <v>972</v>
      </c>
      <c r="K14" s="252" t="s">
        <v>970</v>
      </c>
    </row>
    <row r="15" spans="1:11" s="236" customFormat="1" ht="20.100000000000001" customHeight="1" x14ac:dyDescent="0.2">
      <c r="A15" s="246">
        <v>1</v>
      </c>
      <c r="B15" s="263">
        <v>1</v>
      </c>
      <c r="C15" s="372"/>
      <c r="D15" s="257">
        <v>45725</v>
      </c>
      <c r="E15" s="260">
        <v>0.54166666666666663</v>
      </c>
      <c r="F15" s="260">
        <v>0.75</v>
      </c>
      <c r="G15" s="258">
        <f>F15-E15</f>
        <v>0.20833333333333337</v>
      </c>
      <c r="H15" s="374"/>
      <c r="I15" s="242" t="s">
        <v>913</v>
      </c>
      <c r="J15" s="252" t="s">
        <v>972</v>
      </c>
      <c r="K15" s="252" t="s">
        <v>975</v>
      </c>
    </row>
    <row r="16" spans="1:11" s="236" customFormat="1" ht="20.100000000000001" customHeight="1" x14ac:dyDescent="0.2">
      <c r="A16" s="246">
        <v>1</v>
      </c>
      <c r="B16" s="263">
        <v>1</v>
      </c>
      <c r="C16" s="372"/>
      <c r="D16" s="257">
        <v>45730</v>
      </c>
      <c r="E16" s="260">
        <v>0.66666666666666663</v>
      </c>
      <c r="F16" s="260">
        <v>0.77083333333333337</v>
      </c>
      <c r="G16" s="258">
        <f>F16-E16</f>
        <v>0.10416666666666674</v>
      </c>
      <c r="H16" s="374"/>
      <c r="I16" s="242" t="s">
        <v>913</v>
      </c>
      <c r="J16" s="252" t="s">
        <v>972</v>
      </c>
      <c r="K16" s="252" t="s">
        <v>975</v>
      </c>
    </row>
    <row r="17" spans="1:11" s="236" customFormat="1" ht="20.100000000000001" customHeight="1" x14ac:dyDescent="0.2">
      <c r="A17" s="246">
        <v>1</v>
      </c>
      <c r="B17" s="263">
        <v>1</v>
      </c>
      <c r="C17" s="372"/>
      <c r="D17" s="257">
        <v>45844</v>
      </c>
      <c r="E17" s="260">
        <v>0.29166666666666669</v>
      </c>
      <c r="F17" s="260">
        <v>0.64583333333333337</v>
      </c>
      <c r="G17" s="258">
        <f>F17-E17</f>
        <v>0.35416666666666669</v>
      </c>
      <c r="H17" s="374"/>
      <c r="I17" s="242" t="s">
        <v>913</v>
      </c>
      <c r="J17" s="252" t="s">
        <v>941</v>
      </c>
      <c r="K17" s="252" t="s">
        <v>976</v>
      </c>
    </row>
    <row r="18" spans="1:11" s="236" customFormat="1" ht="20.100000000000001" customHeight="1" x14ac:dyDescent="0.2">
      <c r="A18" s="246">
        <v>1</v>
      </c>
      <c r="B18" s="263">
        <v>1</v>
      </c>
      <c r="C18" s="372"/>
      <c r="D18" s="257">
        <v>45864</v>
      </c>
      <c r="E18" s="260">
        <v>0.73958333333333337</v>
      </c>
      <c r="F18" s="260">
        <v>1.0416666666666666E-2</v>
      </c>
      <c r="G18" s="258">
        <v>0.27083333333333331</v>
      </c>
      <c r="H18" s="374"/>
      <c r="I18" s="242" t="s">
        <v>913</v>
      </c>
      <c r="J18" s="252" t="s">
        <v>977</v>
      </c>
      <c r="K18" s="252" t="s">
        <v>978</v>
      </c>
    </row>
    <row r="19" spans="1:11" s="236" customFormat="1" ht="20.100000000000001" customHeight="1" x14ac:dyDescent="0.2">
      <c r="A19" s="246">
        <v>1</v>
      </c>
      <c r="B19" s="263">
        <v>1</v>
      </c>
      <c r="C19" s="372"/>
      <c r="D19" s="257">
        <v>45892</v>
      </c>
      <c r="E19" s="260">
        <v>0.41666666666666669</v>
      </c>
      <c r="F19" s="260">
        <v>0.58333333333333337</v>
      </c>
      <c r="G19" s="258">
        <f>F19-E19</f>
        <v>0.16666666666666669</v>
      </c>
      <c r="H19" s="374"/>
      <c r="I19" s="242" t="s">
        <v>913</v>
      </c>
      <c r="J19" s="252" t="s">
        <v>979</v>
      </c>
      <c r="K19" s="252" t="s">
        <v>980</v>
      </c>
    </row>
    <row r="20" spans="1:11" s="236" customFormat="1" ht="20.100000000000001" customHeight="1" x14ac:dyDescent="0.2">
      <c r="A20" s="246">
        <v>1</v>
      </c>
      <c r="B20" s="263">
        <v>1</v>
      </c>
      <c r="C20" s="372"/>
      <c r="D20" s="257">
        <v>45921</v>
      </c>
      <c r="E20" s="260">
        <v>0.58333333333333337</v>
      </c>
      <c r="F20" s="260">
        <v>0.66666666666666663</v>
      </c>
      <c r="G20" s="258">
        <f>F20-E20</f>
        <v>8.3333333333333259E-2</v>
      </c>
      <c r="H20" s="375"/>
      <c r="I20" s="280" t="s">
        <v>983</v>
      </c>
      <c r="J20" s="252" t="s">
        <v>981</v>
      </c>
      <c r="K20" s="252" t="s">
        <v>982</v>
      </c>
    </row>
    <row r="21" spans="1:11" s="236" customFormat="1" ht="20.100000000000001" customHeight="1" x14ac:dyDescent="0.2">
      <c r="A21" s="246"/>
      <c r="B21" s="284">
        <f>C22</f>
        <v>5</v>
      </c>
      <c r="C21" s="272"/>
      <c r="D21" s="267">
        <v>2026</v>
      </c>
      <c r="E21" s="376">
        <f>H22</f>
        <v>0.42708333333333326</v>
      </c>
      <c r="F21" s="377"/>
      <c r="G21" s="281"/>
      <c r="H21" s="282"/>
      <c r="I21" s="274"/>
      <c r="J21" s="275"/>
      <c r="K21" s="275"/>
    </row>
    <row r="22" spans="1:11" s="236" customFormat="1" ht="20.100000000000001" customHeight="1" x14ac:dyDescent="0.2">
      <c r="A22" s="246">
        <v>1</v>
      </c>
      <c r="B22" s="263">
        <v>1</v>
      </c>
      <c r="C22" s="372">
        <f>SUM(A22:A28)</f>
        <v>5</v>
      </c>
      <c r="D22" s="257">
        <v>46052</v>
      </c>
      <c r="E22" s="260">
        <v>0.5</v>
      </c>
      <c r="F22" s="260">
        <v>0.75</v>
      </c>
      <c r="G22" s="258">
        <f>F22-E22</f>
        <v>0.25</v>
      </c>
      <c r="H22" s="373">
        <f>SUM(G22:G28)</f>
        <v>0.42708333333333326</v>
      </c>
      <c r="I22" s="280" t="s">
        <v>983</v>
      </c>
      <c r="J22" s="252" t="s">
        <v>984</v>
      </c>
      <c r="K22" s="252" t="s">
        <v>985</v>
      </c>
    </row>
    <row r="23" spans="1:11" s="236" customFormat="1" ht="20.100000000000001" customHeight="1" x14ac:dyDescent="0.2">
      <c r="A23" s="246">
        <v>1</v>
      </c>
      <c r="B23" s="263">
        <v>1</v>
      </c>
      <c r="C23" s="372"/>
      <c r="D23" s="257">
        <v>46054</v>
      </c>
      <c r="E23" s="260">
        <v>0.75</v>
      </c>
      <c r="F23" s="260">
        <v>0.82291666666666663</v>
      </c>
      <c r="G23" s="258">
        <f>F23-E23</f>
        <v>7.291666666666663E-2</v>
      </c>
      <c r="H23" s="374"/>
      <c r="I23" s="242" t="s">
        <v>913</v>
      </c>
      <c r="J23" s="252" t="s">
        <v>988</v>
      </c>
      <c r="K23" s="252" t="s">
        <v>989</v>
      </c>
    </row>
    <row r="24" spans="1:11" s="236" customFormat="1" ht="20.100000000000001" customHeight="1" x14ac:dyDescent="0.2">
      <c r="A24" s="246">
        <v>1</v>
      </c>
      <c r="B24" s="263">
        <v>1</v>
      </c>
      <c r="C24" s="372"/>
      <c r="D24" s="257">
        <v>46078</v>
      </c>
      <c r="E24" s="260">
        <v>0.41666666666666669</v>
      </c>
      <c r="F24" s="260">
        <v>0.45833333333333331</v>
      </c>
      <c r="G24" s="258">
        <f>F24-E24</f>
        <v>4.166666666666663E-2</v>
      </c>
      <c r="H24" s="374"/>
      <c r="I24" s="242" t="s">
        <v>913</v>
      </c>
      <c r="J24" s="252" t="s">
        <v>990</v>
      </c>
      <c r="K24" s="252" t="s">
        <v>991</v>
      </c>
    </row>
    <row r="25" spans="1:11" s="236" customFormat="1" ht="20.100000000000001" customHeight="1" x14ac:dyDescent="0.2">
      <c r="A25" s="246">
        <v>1</v>
      </c>
      <c r="B25" s="263">
        <v>1</v>
      </c>
      <c r="C25" s="372"/>
      <c r="D25" s="257">
        <v>46149</v>
      </c>
      <c r="E25" s="260">
        <v>0.58333333333333337</v>
      </c>
      <c r="F25" s="260">
        <v>0.60416666666666663</v>
      </c>
      <c r="G25" s="258">
        <f>F25-E25</f>
        <v>2.0833333333333259E-2</v>
      </c>
      <c r="H25" s="374"/>
      <c r="I25" s="242" t="s">
        <v>913</v>
      </c>
      <c r="J25" s="252" t="s">
        <v>988</v>
      </c>
      <c r="K25" s="252" t="s">
        <v>992</v>
      </c>
    </row>
    <row r="26" spans="1:11" s="236" customFormat="1" ht="20.100000000000001" customHeight="1" x14ac:dyDescent="0.2">
      <c r="A26" s="246">
        <v>1</v>
      </c>
      <c r="B26" s="263">
        <v>1</v>
      </c>
      <c r="C26" s="372"/>
      <c r="D26" s="257">
        <v>46155</v>
      </c>
      <c r="E26" s="260">
        <v>0.60416666666666663</v>
      </c>
      <c r="F26" s="260">
        <v>0.64583333333333337</v>
      </c>
      <c r="G26" s="258">
        <f>F26-E26</f>
        <v>4.1666666666666741E-2</v>
      </c>
      <c r="H26" s="374"/>
      <c r="I26" s="242" t="s">
        <v>913</v>
      </c>
      <c r="J26" s="252" t="s">
        <v>993</v>
      </c>
      <c r="K26" s="252" t="s">
        <v>994</v>
      </c>
    </row>
    <row r="27" spans="1:11" s="236" customFormat="1" ht="20.100000000000001" customHeight="1" x14ac:dyDescent="0.2">
      <c r="A27" s="246"/>
      <c r="B27" s="263"/>
      <c r="C27" s="372"/>
      <c r="D27" s="257"/>
      <c r="E27" s="260"/>
      <c r="F27" s="260"/>
      <c r="G27" s="258"/>
      <c r="H27" s="374"/>
      <c r="I27" s="279"/>
      <c r="J27" s="252"/>
      <c r="K27" s="252"/>
    </row>
    <row r="28" spans="1:11" s="236" customFormat="1" ht="19.5" customHeight="1" x14ac:dyDescent="0.2">
      <c r="A28" s="246"/>
      <c r="B28" s="263"/>
      <c r="C28" s="372"/>
      <c r="D28" s="263"/>
      <c r="E28" s="278"/>
      <c r="F28" s="263"/>
      <c r="G28" s="260"/>
      <c r="H28" s="375"/>
      <c r="I28" s="279"/>
      <c r="J28" s="252"/>
      <c r="K28" s="252"/>
    </row>
    <row r="29" spans="1:11" s="236" customFormat="1" ht="15" customHeight="1" x14ac:dyDescent="0.2">
      <c r="A29" s="145"/>
      <c r="B29" s="256"/>
      <c r="C29" s="145"/>
      <c r="D29" s="261"/>
      <c r="E29" s="262"/>
      <c r="F29" s="262"/>
      <c r="G29" s="262"/>
      <c r="H29" s="243"/>
      <c r="I29" s="243"/>
      <c r="J29" s="231"/>
      <c r="K29" s="231"/>
    </row>
    <row r="30" spans="1:11" s="236" customFormat="1" ht="15" customHeight="1" x14ac:dyDescent="0.2">
      <c r="A30" s="48">
        <f>SUM(A4:A28)</f>
        <v>20</v>
      </c>
      <c r="B30" s="256">
        <f>A30</f>
        <v>20</v>
      </c>
      <c r="C30" s="145"/>
      <c r="D30" s="261"/>
      <c r="E30" s="262"/>
      <c r="F30" s="262"/>
      <c r="G30" s="262"/>
      <c r="H30" s="243"/>
      <c r="I30" s="243"/>
      <c r="J30" s="231"/>
      <c r="K30" s="231"/>
    </row>
    <row r="31" spans="1:11" s="236" customFormat="1" ht="15" customHeight="1" x14ac:dyDescent="0.2">
      <c r="A31" s="145"/>
      <c r="B31" s="256"/>
      <c r="C31" s="145"/>
      <c r="D31" s="261"/>
      <c r="E31" s="262"/>
      <c r="F31" s="262"/>
      <c r="G31" s="262"/>
      <c r="H31" s="243"/>
      <c r="I31" s="243"/>
      <c r="J31" s="231"/>
      <c r="K31" s="231"/>
    </row>
    <row r="32" spans="1:11" s="236" customFormat="1" ht="15" customHeight="1" x14ac:dyDescent="0.2">
      <c r="A32" s="145"/>
      <c r="B32" s="256"/>
      <c r="C32" s="145"/>
      <c r="D32" s="261"/>
      <c r="E32" s="262"/>
      <c r="F32" s="262"/>
      <c r="G32" s="262"/>
      <c r="H32" s="243"/>
      <c r="I32" s="243"/>
      <c r="J32" s="231"/>
      <c r="K32" s="231"/>
    </row>
    <row r="33" spans="1:11" s="236" customFormat="1" ht="15" customHeight="1" x14ac:dyDescent="0.2">
      <c r="A33" s="145"/>
      <c r="B33" s="256"/>
      <c r="C33" s="145"/>
      <c r="D33" s="261"/>
      <c r="E33" s="256"/>
      <c r="F33" s="262"/>
      <c r="G33" s="262"/>
      <c r="H33" s="243"/>
      <c r="I33" s="243"/>
      <c r="J33" s="231"/>
      <c r="K33" s="231"/>
    </row>
    <row r="34" spans="1:11" s="236" customFormat="1" ht="15" customHeight="1" x14ac:dyDescent="0.2">
      <c r="A34" s="145"/>
      <c r="B34" s="256"/>
      <c r="C34" s="145"/>
      <c r="D34" s="261"/>
      <c r="E34" s="256"/>
      <c r="F34" s="262"/>
      <c r="G34" s="262"/>
      <c r="H34" s="243"/>
      <c r="I34" s="243"/>
      <c r="J34" s="231"/>
      <c r="K34" s="231"/>
    </row>
    <row r="35" spans="1:11" s="236" customFormat="1" ht="15" customHeight="1" x14ac:dyDescent="0.2">
      <c r="A35" s="145"/>
      <c r="B35" s="256"/>
      <c r="C35" s="145"/>
      <c r="D35" s="261"/>
      <c r="E35" s="262"/>
      <c r="F35" s="262"/>
      <c r="G35" s="262"/>
      <c r="H35" s="243"/>
      <c r="I35" s="243"/>
      <c r="J35" s="231"/>
      <c r="K35" s="231"/>
    </row>
    <row r="36" spans="1:11" s="236" customFormat="1" ht="15" customHeight="1" x14ac:dyDescent="0.2">
      <c r="A36" s="145"/>
      <c r="B36" s="256"/>
      <c r="C36" s="145"/>
      <c r="D36" s="261"/>
      <c r="E36" s="262"/>
      <c r="F36" s="262"/>
      <c r="G36" s="262"/>
      <c r="H36" s="243"/>
      <c r="I36" s="243"/>
      <c r="J36" s="231"/>
      <c r="K36" s="231"/>
    </row>
    <row r="37" spans="1:11" s="236" customFormat="1" ht="15" customHeight="1" x14ac:dyDescent="0.2">
      <c r="A37" s="145"/>
      <c r="B37" s="256"/>
      <c r="C37" s="145"/>
      <c r="D37" s="261"/>
      <c r="E37" s="262"/>
      <c r="F37" s="262"/>
      <c r="G37" s="262"/>
      <c r="H37" s="243"/>
      <c r="I37" s="243"/>
      <c r="J37" s="231"/>
      <c r="K37" s="231"/>
    </row>
    <row r="38" spans="1:11" s="236" customFormat="1" ht="15" customHeight="1" x14ac:dyDescent="0.2">
      <c r="A38" s="145"/>
      <c r="B38" s="256"/>
      <c r="C38" s="145"/>
      <c r="D38" s="261"/>
      <c r="E38" s="262"/>
      <c r="F38" s="262"/>
      <c r="G38" s="262"/>
      <c r="H38" s="243"/>
      <c r="I38" s="243"/>
      <c r="J38" s="231"/>
      <c r="K38" s="231"/>
    </row>
    <row r="39" spans="1:11" s="236" customFormat="1" ht="15" customHeight="1" x14ac:dyDescent="0.2">
      <c r="A39" s="145"/>
      <c r="B39" s="256"/>
      <c r="C39" s="145"/>
      <c r="D39" s="261"/>
      <c r="E39" s="262"/>
      <c r="F39" s="262"/>
      <c r="G39" s="262"/>
      <c r="H39" s="243"/>
      <c r="I39" s="243"/>
      <c r="J39" s="231"/>
      <c r="K39" s="231"/>
    </row>
    <row r="40" spans="1:11" s="236" customFormat="1" ht="15" customHeight="1" x14ac:dyDescent="0.2">
      <c r="A40" s="145"/>
      <c r="B40" s="256"/>
      <c r="C40" s="145"/>
      <c r="D40" s="261"/>
      <c r="E40" s="262"/>
      <c r="F40" s="262"/>
      <c r="G40" s="262"/>
      <c r="H40" s="243"/>
      <c r="I40" s="243"/>
      <c r="J40" s="231"/>
      <c r="K40" s="231"/>
    </row>
    <row r="41" spans="1:11" s="236" customFormat="1" ht="15" customHeight="1" x14ac:dyDescent="0.2">
      <c r="A41" s="145"/>
      <c r="B41" s="256"/>
      <c r="C41" s="145"/>
      <c r="D41" s="261"/>
      <c r="E41" s="262"/>
      <c r="F41" s="262"/>
      <c r="G41" s="262"/>
      <c r="H41" s="243"/>
      <c r="I41" s="243"/>
      <c r="J41" s="231"/>
      <c r="K41" s="231"/>
    </row>
    <row r="42" spans="1:11" s="236" customFormat="1" ht="15" customHeight="1" x14ac:dyDescent="0.2">
      <c r="A42" s="145"/>
      <c r="B42" s="256"/>
      <c r="C42" s="145"/>
      <c r="D42" s="261"/>
      <c r="E42" s="262"/>
      <c r="F42" s="262"/>
      <c r="G42" s="262"/>
      <c r="H42" s="243"/>
      <c r="I42" s="243"/>
      <c r="J42" s="231"/>
      <c r="K42" s="231"/>
    </row>
    <row r="43" spans="1:11" s="236" customFormat="1" ht="15" customHeight="1" x14ac:dyDescent="0.2">
      <c r="A43" s="145"/>
      <c r="B43" s="256"/>
      <c r="C43" s="145"/>
      <c r="D43" s="261"/>
      <c r="E43" s="262"/>
      <c r="F43" s="262"/>
      <c r="G43" s="262"/>
      <c r="H43" s="243"/>
      <c r="I43" s="243"/>
      <c r="J43" s="231"/>
      <c r="K43" s="231"/>
    </row>
    <row r="44" spans="1:11" s="236" customFormat="1" ht="15" customHeight="1" x14ac:dyDescent="0.2">
      <c r="A44" s="145"/>
      <c r="B44" s="256"/>
      <c r="C44" s="145"/>
      <c r="D44" s="261"/>
      <c r="E44" s="262"/>
      <c r="F44" s="262"/>
      <c r="G44" s="262"/>
      <c r="H44" s="243"/>
      <c r="I44" s="243"/>
      <c r="J44" s="231"/>
      <c r="K44" s="231"/>
    </row>
    <row r="45" spans="1:11" s="236" customFormat="1" ht="15" customHeight="1" x14ac:dyDescent="0.2">
      <c r="A45" s="145"/>
      <c r="B45" s="256"/>
      <c r="C45" s="145"/>
      <c r="D45" s="261"/>
      <c r="E45" s="262"/>
      <c r="F45" s="262"/>
      <c r="G45" s="262"/>
      <c r="H45" s="243"/>
      <c r="I45" s="243"/>
      <c r="J45" s="231"/>
      <c r="K45" s="231"/>
    </row>
    <row r="46" spans="1:11" s="236" customFormat="1" ht="15" customHeight="1" x14ac:dyDescent="0.2">
      <c r="A46" s="145"/>
      <c r="B46" s="256"/>
      <c r="C46" s="145"/>
      <c r="D46" s="261"/>
      <c r="E46" s="262"/>
      <c r="F46" s="262"/>
      <c r="G46" s="262"/>
      <c r="H46" s="243"/>
      <c r="I46" s="243"/>
      <c r="J46" s="231"/>
      <c r="K46" s="231"/>
    </row>
    <row r="47" spans="1:11" s="236" customFormat="1" ht="15" customHeight="1" x14ac:dyDescent="0.2">
      <c r="A47" s="145"/>
      <c r="B47" s="256"/>
      <c r="C47" s="145"/>
      <c r="D47" s="261"/>
      <c r="E47" s="262"/>
      <c r="F47" s="262"/>
      <c r="G47" s="262"/>
      <c r="H47" s="243"/>
      <c r="I47" s="243"/>
      <c r="J47" s="231"/>
      <c r="K47" s="231"/>
    </row>
    <row r="48" spans="1:11" s="236" customFormat="1" ht="15" customHeight="1" x14ac:dyDescent="0.2">
      <c r="A48" s="145"/>
      <c r="B48" s="256"/>
      <c r="C48" s="145"/>
      <c r="D48" s="261"/>
      <c r="E48" s="262"/>
      <c r="F48" s="262"/>
      <c r="G48" s="262"/>
      <c r="H48" s="243"/>
      <c r="I48" s="243"/>
      <c r="J48" s="231"/>
      <c r="K48" s="231"/>
    </row>
    <row r="49" spans="1:11" s="236" customFormat="1" ht="15" customHeight="1" x14ac:dyDescent="0.2">
      <c r="A49" s="145"/>
      <c r="B49" s="256"/>
      <c r="C49" s="145"/>
      <c r="D49" s="261"/>
      <c r="E49" s="262"/>
      <c r="F49" s="262"/>
      <c r="G49" s="262"/>
      <c r="H49" s="243"/>
      <c r="I49" s="243"/>
      <c r="J49" s="231"/>
      <c r="K49" s="231"/>
    </row>
    <row r="50" spans="1:11" s="236" customFormat="1" ht="15" customHeight="1" x14ac:dyDescent="0.2">
      <c r="A50" s="145"/>
      <c r="B50" s="256"/>
      <c r="C50" s="145"/>
      <c r="D50" s="261"/>
      <c r="E50" s="262"/>
      <c r="F50" s="262"/>
      <c r="G50" s="262"/>
      <c r="H50" s="243"/>
      <c r="I50" s="243"/>
      <c r="J50" s="231"/>
      <c r="K50" s="231"/>
    </row>
    <row r="51" spans="1:11" s="236" customFormat="1" ht="15" customHeight="1" x14ac:dyDescent="0.2">
      <c r="A51" s="145"/>
      <c r="B51" s="256"/>
      <c r="C51" s="145"/>
      <c r="D51" s="261"/>
      <c r="E51" s="262"/>
      <c r="F51" s="262"/>
      <c r="G51" s="262"/>
      <c r="H51" s="243"/>
      <c r="I51" s="243"/>
      <c r="J51" s="231"/>
      <c r="K51" s="231"/>
    </row>
    <row r="52" spans="1:11" s="236" customFormat="1" ht="15" customHeight="1" x14ac:dyDescent="0.2">
      <c r="A52" s="145"/>
      <c r="B52" s="256"/>
      <c r="C52" s="145"/>
      <c r="D52" s="261"/>
      <c r="E52" s="262"/>
      <c r="F52" s="262"/>
      <c r="G52" s="262"/>
      <c r="H52" s="243"/>
      <c r="I52" s="243"/>
      <c r="J52" s="231"/>
      <c r="K52" s="231"/>
    </row>
    <row r="53" spans="1:11" s="236" customFormat="1" ht="15" customHeight="1" x14ac:dyDescent="0.2">
      <c r="A53" s="145"/>
      <c r="B53" s="256"/>
      <c r="C53" s="145"/>
      <c r="D53" s="261"/>
      <c r="E53" s="262"/>
      <c r="F53" s="262"/>
      <c r="G53" s="262"/>
      <c r="H53" s="243"/>
      <c r="I53" s="243"/>
      <c r="J53" s="231"/>
      <c r="K53" s="231"/>
    </row>
    <row r="54" spans="1:11" x14ac:dyDescent="0.2">
      <c r="A54" s="145"/>
    </row>
    <row r="56" spans="1:11" ht="15" customHeight="1" x14ac:dyDescent="0.2"/>
  </sheetData>
  <mergeCells count="19">
    <mergeCell ref="K1:K2"/>
    <mergeCell ref="A1:B2"/>
    <mergeCell ref="C1:C2"/>
    <mergeCell ref="D1:D2"/>
    <mergeCell ref="E1:E2"/>
    <mergeCell ref="F1:F2"/>
    <mergeCell ref="G1:G2"/>
    <mergeCell ref="J1:J2"/>
    <mergeCell ref="E4:F4"/>
    <mergeCell ref="C5:C11"/>
    <mergeCell ref="H5:H11"/>
    <mergeCell ref="H1:H2"/>
    <mergeCell ref="I1:I2"/>
    <mergeCell ref="E12:F12"/>
    <mergeCell ref="C13:C20"/>
    <mergeCell ref="H13:H20"/>
    <mergeCell ref="E21:F21"/>
    <mergeCell ref="C22:C28"/>
    <mergeCell ref="H22:H28"/>
  </mergeCells>
  <pageMargins left="0.16" right="0.2" top="0.75" bottom="0.75" header="0.3" footer="0.3"/>
  <pageSetup paperSize="9" scale="59" orientation="landscape" horizontalDpi="4294967293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35D5-5EF9-4F69-8318-5BDDBF4B2752}">
  <sheetPr>
    <tabColor theme="3"/>
  </sheetPr>
  <dimension ref="A2:S408"/>
  <sheetViews>
    <sheetView workbookViewId="0">
      <selection activeCell="D137" sqref="D137"/>
    </sheetView>
  </sheetViews>
  <sheetFormatPr defaultRowHeight="12.75" x14ac:dyDescent="0.2"/>
  <cols>
    <col min="1" max="1" width="10.140625" bestFit="1" customWidth="1"/>
    <col min="2" max="2" width="5" bestFit="1" customWidth="1"/>
    <col min="3" max="3" width="67.7109375" bestFit="1" customWidth="1"/>
    <col min="4" max="4" width="67.7109375" customWidth="1"/>
    <col min="5" max="19" width="5" bestFit="1" customWidth="1"/>
  </cols>
  <sheetData>
    <row r="2" spans="1:19" ht="15" x14ac:dyDescent="0.25">
      <c r="E2" s="52">
        <v>2003</v>
      </c>
      <c r="F2" s="52">
        <v>2004</v>
      </c>
      <c r="G2" s="52">
        <v>2005</v>
      </c>
      <c r="H2" s="52">
        <v>2006</v>
      </c>
      <c r="I2" s="52">
        <v>2007</v>
      </c>
      <c r="J2" s="52">
        <v>2008</v>
      </c>
      <c r="K2" s="52">
        <v>2009</v>
      </c>
      <c r="L2" s="52">
        <v>2010</v>
      </c>
      <c r="M2" s="52">
        <v>2011</v>
      </c>
      <c r="N2" s="52">
        <v>2012</v>
      </c>
      <c r="O2" s="52">
        <v>2013</v>
      </c>
      <c r="P2" s="52">
        <v>2014</v>
      </c>
      <c r="Q2" s="52">
        <v>2015</v>
      </c>
      <c r="R2" s="52">
        <v>2016</v>
      </c>
      <c r="S2" s="52">
        <v>2017</v>
      </c>
    </row>
    <row r="3" spans="1:19" ht="21" x14ac:dyDescent="0.35">
      <c r="C3" s="53">
        <f>SUM(E4:S4)</f>
        <v>395</v>
      </c>
      <c r="D3" s="53"/>
    </row>
    <row r="4" spans="1:19" ht="15" x14ac:dyDescent="0.25">
      <c r="E4" s="54">
        <f t="shared" ref="E4:P4" si="0">SUM(E6:E373)</f>
        <v>11</v>
      </c>
      <c r="F4" s="54">
        <f t="shared" si="0"/>
        <v>23</v>
      </c>
      <c r="G4" s="54">
        <f t="shared" si="0"/>
        <v>30</v>
      </c>
      <c r="H4" s="54">
        <f t="shared" si="0"/>
        <v>39</v>
      </c>
      <c r="I4" s="54">
        <f t="shared" si="0"/>
        <v>7</v>
      </c>
      <c r="J4" s="54">
        <f t="shared" si="0"/>
        <v>3</v>
      </c>
      <c r="K4" s="54">
        <f t="shared" si="0"/>
        <v>4</v>
      </c>
      <c r="L4" s="54">
        <f t="shared" si="0"/>
        <v>47</v>
      </c>
      <c r="M4" s="54">
        <f t="shared" si="0"/>
        <v>45</v>
      </c>
      <c r="N4" s="54">
        <f t="shared" si="0"/>
        <v>64</v>
      </c>
      <c r="O4" s="54">
        <f t="shared" si="0"/>
        <v>49</v>
      </c>
      <c r="P4" s="54">
        <f t="shared" si="0"/>
        <v>22</v>
      </c>
      <c r="Q4" s="54">
        <f>SUM(Q6:Q375)</f>
        <v>20</v>
      </c>
      <c r="R4" s="54">
        <f>SUM(R6:R406)</f>
        <v>30</v>
      </c>
      <c r="S4" s="54">
        <f>SUM(S6:S416)</f>
        <v>1</v>
      </c>
    </row>
    <row r="6" spans="1:19" ht="15" x14ac:dyDescent="0.25">
      <c r="A6" s="55">
        <v>37653</v>
      </c>
      <c r="B6" s="56"/>
      <c r="C6" s="57" t="s">
        <v>6</v>
      </c>
      <c r="D6" s="57"/>
      <c r="E6" s="58">
        <v>1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</row>
    <row r="7" spans="1:19" ht="15" x14ac:dyDescent="0.25">
      <c r="A7" s="55">
        <v>37703</v>
      </c>
      <c r="B7" s="56"/>
      <c r="C7" s="57" t="s">
        <v>7</v>
      </c>
      <c r="D7" s="57"/>
      <c r="E7" s="58">
        <v>1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spans="1:19" ht="15" x14ac:dyDescent="0.25">
      <c r="A8" s="55">
        <v>37713</v>
      </c>
      <c r="B8" s="56"/>
      <c r="C8" s="57" t="s">
        <v>8</v>
      </c>
      <c r="D8" s="57"/>
      <c r="E8" s="58">
        <v>1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</row>
    <row r="9" spans="1:19" ht="15" x14ac:dyDescent="0.25">
      <c r="A9" s="55">
        <v>37722</v>
      </c>
      <c r="B9" s="56"/>
      <c r="C9" s="57" t="s">
        <v>12</v>
      </c>
      <c r="D9" s="57"/>
      <c r="E9" s="58">
        <v>1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</row>
    <row r="10" spans="1:19" ht="15" x14ac:dyDescent="0.25">
      <c r="A10" s="55">
        <v>37724</v>
      </c>
      <c r="B10" s="56"/>
      <c r="C10" s="57" t="s">
        <v>11</v>
      </c>
      <c r="D10" s="57"/>
      <c r="E10" s="58">
        <v>1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</row>
    <row r="11" spans="1:19" ht="15" x14ac:dyDescent="0.25">
      <c r="A11" s="55">
        <v>37765</v>
      </c>
      <c r="B11" s="56"/>
      <c r="C11" s="57" t="s">
        <v>14</v>
      </c>
      <c r="D11" s="57"/>
      <c r="E11" s="58">
        <v>1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spans="1:19" ht="15" x14ac:dyDescent="0.25">
      <c r="A12" s="55">
        <v>37792</v>
      </c>
      <c r="B12" s="56"/>
      <c r="C12" s="57" t="s">
        <v>16</v>
      </c>
      <c r="D12" s="57"/>
      <c r="E12" s="58">
        <v>1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</row>
    <row r="13" spans="1:19" ht="15" x14ac:dyDescent="0.25">
      <c r="A13" s="55">
        <v>37912</v>
      </c>
      <c r="B13" s="56"/>
      <c r="C13" s="57" t="s">
        <v>17</v>
      </c>
      <c r="D13" s="57"/>
      <c r="E13" s="58">
        <v>1</v>
      </c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</row>
    <row r="14" spans="1:19" ht="15" x14ac:dyDescent="0.25">
      <c r="A14" s="55">
        <v>37961</v>
      </c>
      <c r="B14" s="56"/>
      <c r="C14" s="57" t="s">
        <v>19</v>
      </c>
      <c r="D14" s="57"/>
      <c r="E14" s="58">
        <v>1</v>
      </c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</row>
    <row r="15" spans="1:19" ht="15" x14ac:dyDescent="0.25">
      <c r="A15" s="55">
        <v>37962</v>
      </c>
      <c r="B15" s="56"/>
      <c r="C15" s="57" t="s">
        <v>21</v>
      </c>
      <c r="D15" s="57"/>
      <c r="E15" s="58">
        <v>1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</row>
    <row r="16" spans="1:19" ht="15" x14ac:dyDescent="0.25">
      <c r="A16" s="55">
        <v>37975</v>
      </c>
      <c r="B16" s="56"/>
      <c r="C16" s="57" t="s">
        <v>22</v>
      </c>
      <c r="D16" s="57"/>
      <c r="E16" s="58">
        <v>1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</row>
    <row r="17" spans="1:19" ht="15" x14ac:dyDescent="0.25"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</row>
    <row r="18" spans="1:19" ht="15" x14ac:dyDescent="0.25">
      <c r="A18" s="59">
        <v>38011</v>
      </c>
      <c r="B18" s="60"/>
      <c r="C18" s="61" t="s">
        <v>25</v>
      </c>
      <c r="D18" s="61"/>
      <c r="E18" s="58"/>
      <c r="F18" s="58">
        <v>1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</row>
    <row r="19" spans="1:19" ht="15" x14ac:dyDescent="0.25">
      <c r="A19" s="59">
        <v>38066</v>
      </c>
      <c r="B19" s="60"/>
      <c r="C19" s="61" t="s">
        <v>27</v>
      </c>
      <c r="D19" s="61"/>
      <c r="E19" s="58"/>
      <c r="F19" s="58">
        <v>1</v>
      </c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</row>
    <row r="20" spans="1:19" ht="15" x14ac:dyDescent="0.25">
      <c r="A20" s="59">
        <v>38067</v>
      </c>
      <c r="B20" s="60"/>
      <c r="C20" s="61" t="s">
        <v>29</v>
      </c>
      <c r="D20" s="61"/>
      <c r="E20" s="58"/>
      <c r="F20" s="58">
        <v>1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</row>
    <row r="21" spans="1:19" ht="15" x14ac:dyDescent="0.25">
      <c r="A21" s="59">
        <v>38073</v>
      </c>
      <c r="B21" s="60"/>
      <c r="C21" s="61" t="s">
        <v>31</v>
      </c>
      <c r="D21" s="61"/>
      <c r="E21" s="58"/>
      <c r="F21" s="58">
        <v>1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</row>
    <row r="22" spans="1:19" ht="15" x14ac:dyDescent="0.25">
      <c r="A22" s="59">
        <v>38079</v>
      </c>
      <c r="B22" s="60"/>
      <c r="C22" s="61" t="s">
        <v>33</v>
      </c>
      <c r="D22" s="61"/>
      <c r="E22" s="58"/>
      <c r="F22" s="58">
        <v>1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</row>
    <row r="23" spans="1:19" ht="15" x14ac:dyDescent="0.25">
      <c r="A23" s="59">
        <v>38086</v>
      </c>
      <c r="B23" s="60"/>
      <c r="C23" s="61" t="s">
        <v>35</v>
      </c>
      <c r="D23" s="61"/>
      <c r="E23" s="58"/>
      <c r="F23" s="58">
        <v>1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</row>
    <row r="24" spans="1:19" ht="15" x14ac:dyDescent="0.25">
      <c r="A24" s="59">
        <v>38109</v>
      </c>
      <c r="B24" s="60"/>
      <c r="C24" s="61" t="s">
        <v>36</v>
      </c>
      <c r="D24" s="61"/>
      <c r="E24" s="58"/>
      <c r="F24" s="58">
        <v>1</v>
      </c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</row>
    <row r="25" spans="1:19" ht="15" x14ac:dyDescent="0.25">
      <c r="A25" s="59">
        <v>38114</v>
      </c>
      <c r="B25" s="60"/>
      <c r="C25" s="61" t="s">
        <v>33</v>
      </c>
      <c r="D25" s="61"/>
      <c r="E25" s="58"/>
      <c r="F25" s="58">
        <v>1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</row>
    <row r="26" spans="1:19" ht="15" x14ac:dyDescent="0.25">
      <c r="A26" s="59">
        <v>38131</v>
      </c>
      <c r="B26" s="60"/>
      <c r="C26" s="61" t="s">
        <v>38</v>
      </c>
      <c r="D26" s="61"/>
      <c r="E26" s="58"/>
      <c r="F26" s="58">
        <v>1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</row>
    <row r="27" spans="1:19" ht="15" x14ac:dyDescent="0.25">
      <c r="A27" s="59">
        <v>38142</v>
      </c>
      <c r="B27" s="60"/>
      <c r="C27" s="61" t="s">
        <v>33</v>
      </c>
      <c r="D27" s="61"/>
      <c r="E27" s="58"/>
      <c r="F27" s="58">
        <v>1</v>
      </c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</row>
    <row r="28" spans="1:19" ht="15" x14ac:dyDescent="0.25">
      <c r="A28" s="59">
        <v>38143</v>
      </c>
      <c r="B28" s="60"/>
      <c r="C28" s="61" t="s">
        <v>39</v>
      </c>
      <c r="D28" s="61"/>
      <c r="E28" s="58"/>
      <c r="F28" s="58">
        <v>1</v>
      </c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</row>
    <row r="29" spans="1:19" ht="15" x14ac:dyDescent="0.25">
      <c r="A29" s="59">
        <v>38144</v>
      </c>
      <c r="B29" s="60"/>
      <c r="C29" s="61" t="s">
        <v>39</v>
      </c>
      <c r="D29" s="61"/>
      <c r="E29" s="58"/>
      <c r="F29" s="58">
        <v>1</v>
      </c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</row>
    <row r="30" spans="1:19" ht="15" x14ac:dyDescent="0.25">
      <c r="A30" s="59">
        <v>38158</v>
      </c>
      <c r="B30" s="60"/>
      <c r="C30" s="61" t="s">
        <v>41</v>
      </c>
      <c r="D30" s="61"/>
      <c r="E30" s="58"/>
      <c r="F30" s="58">
        <v>1</v>
      </c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</row>
    <row r="31" spans="1:19" ht="15" x14ac:dyDescent="0.25">
      <c r="A31" s="59">
        <v>38161</v>
      </c>
      <c r="B31" s="60"/>
      <c r="C31" s="61" t="s">
        <v>42</v>
      </c>
      <c r="D31" s="61"/>
      <c r="E31" s="58"/>
      <c r="F31" s="58">
        <v>1</v>
      </c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</row>
    <row r="32" spans="1:19" ht="15" x14ac:dyDescent="0.25">
      <c r="A32" s="59">
        <v>38170</v>
      </c>
      <c r="B32" s="60"/>
      <c r="C32" s="61" t="s">
        <v>36</v>
      </c>
      <c r="D32" s="61"/>
      <c r="E32" s="58"/>
      <c r="F32" s="58">
        <v>1</v>
      </c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</row>
    <row r="33" spans="1:19" ht="15" x14ac:dyDescent="0.25">
      <c r="A33" s="62">
        <v>38187</v>
      </c>
      <c r="B33" s="60"/>
      <c r="C33" s="61" t="s">
        <v>45</v>
      </c>
      <c r="D33" s="61"/>
      <c r="E33" s="58"/>
      <c r="F33" s="58">
        <v>1</v>
      </c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</row>
    <row r="34" spans="1:19" ht="15" x14ac:dyDescent="0.25">
      <c r="A34" s="59">
        <v>38191</v>
      </c>
      <c r="B34" s="60"/>
      <c r="C34" s="61" t="s">
        <v>47</v>
      </c>
      <c r="D34" s="61"/>
      <c r="E34" s="58"/>
      <c r="F34" s="58">
        <v>1</v>
      </c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</row>
    <row r="35" spans="1:19" ht="15" x14ac:dyDescent="0.25">
      <c r="A35" s="59">
        <v>38198</v>
      </c>
      <c r="B35" s="60"/>
      <c r="C35" s="61" t="s">
        <v>47</v>
      </c>
      <c r="D35" s="61"/>
      <c r="E35" s="58"/>
      <c r="F35" s="58">
        <v>1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 spans="1:19" ht="15" x14ac:dyDescent="0.25">
      <c r="A36" s="59">
        <v>38296</v>
      </c>
      <c r="B36" s="60"/>
      <c r="C36" s="61" t="s">
        <v>33</v>
      </c>
      <c r="D36" s="61"/>
      <c r="E36" s="58"/>
      <c r="F36" s="58">
        <v>1</v>
      </c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</row>
    <row r="37" spans="1:19" ht="15" x14ac:dyDescent="0.25">
      <c r="A37" s="59">
        <v>38305</v>
      </c>
      <c r="B37" s="60"/>
      <c r="C37" s="61" t="s">
        <v>25</v>
      </c>
      <c r="D37" s="61"/>
      <c r="E37" s="58"/>
      <c r="F37" s="58">
        <v>1</v>
      </c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</row>
    <row r="38" spans="1:19" ht="15" x14ac:dyDescent="0.25">
      <c r="A38" s="59">
        <v>38324</v>
      </c>
      <c r="B38" s="60"/>
      <c r="C38" s="61" t="s">
        <v>33</v>
      </c>
      <c r="D38" s="61"/>
      <c r="E38" s="58"/>
      <c r="F38" s="58">
        <v>1</v>
      </c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</row>
    <row r="39" spans="1:19" ht="15" x14ac:dyDescent="0.25">
      <c r="A39" s="59">
        <v>38329</v>
      </c>
      <c r="B39" s="60"/>
      <c r="C39" s="61" t="s">
        <v>50</v>
      </c>
      <c r="D39" s="61"/>
      <c r="E39" s="58"/>
      <c r="F39" s="58">
        <v>1</v>
      </c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</row>
    <row r="40" spans="1:19" ht="15" x14ac:dyDescent="0.25">
      <c r="A40" s="59">
        <v>38332</v>
      </c>
      <c r="B40" s="60"/>
      <c r="C40" s="61" t="s">
        <v>52</v>
      </c>
      <c r="D40" s="61"/>
      <c r="E40" s="58"/>
      <c r="F40" s="58">
        <v>1</v>
      </c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</row>
    <row r="41" spans="1:19" ht="15" x14ac:dyDescent="0.25">
      <c r="A41" s="60"/>
      <c r="B41" s="60"/>
      <c r="C41" s="60"/>
      <c r="D41" s="60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</row>
    <row r="42" spans="1:19" ht="15" x14ac:dyDescent="0.25">
      <c r="A42" s="63">
        <v>38359</v>
      </c>
      <c r="B42" s="64"/>
      <c r="C42" s="65" t="s">
        <v>33</v>
      </c>
      <c r="D42" s="65"/>
      <c r="E42" s="58"/>
      <c r="F42" s="58"/>
      <c r="G42" s="58">
        <v>1</v>
      </c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</row>
    <row r="43" spans="1:19" ht="15" x14ac:dyDescent="0.25">
      <c r="A43" s="63">
        <v>38395</v>
      </c>
      <c r="B43" s="64"/>
      <c r="C43" s="65" t="s">
        <v>55</v>
      </c>
      <c r="D43" s="65"/>
      <c r="E43" s="58"/>
      <c r="F43" s="58"/>
      <c r="G43" s="58">
        <v>1</v>
      </c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</row>
    <row r="44" spans="1:19" ht="15" x14ac:dyDescent="0.25">
      <c r="A44" s="63">
        <v>38402</v>
      </c>
      <c r="B44" s="64"/>
      <c r="C44" s="65" t="s">
        <v>55</v>
      </c>
      <c r="D44" s="65"/>
      <c r="E44" s="58"/>
      <c r="F44" s="58"/>
      <c r="G44" s="58">
        <v>1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</row>
    <row r="45" spans="1:19" ht="15" x14ac:dyDescent="0.25">
      <c r="A45" s="63">
        <v>38403</v>
      </c>
      <c r="B45" s="64"/>
      <c r="C45" s="65" t="s">
        <v>55</v>
      </c>
      <c r="D45" s="65"/>
      <c r="E45" s="58"/>
      <c r="F45" s="58"/>
      <c r="G45" s="58">
        <v>1</v>
      </c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</row>
    <row r="46" spans="1:19" ht="15" x14ac:dyDescent="0.25">
      <c r="A46" s="63">
        <v>38415</v>
      </c>
      <c r="B46" s="64"/>
      <c r="C46" s="65" t="s">
        <v>33</v>
      </c>
      <c r="D46" s="65"/>
      <c r="E46" s="58"/>
      <c r="F46" s="58"/>
      <c r="G46" s="58">
        <v>1</v>
      </c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</row>
    <row r="47" spans="1:19" ht="15" x14ac:dyDescent="0.25">
      <c r="A47" s="63">
        <v>38424</v>
      </c>
      <c r="B47" s="64"/>
      <c r="C47" s="65" t="s">
        <v>65</v>
      </c>
      <c r="D47" s="65"/>
      <c r="E47" s="58"/>
      <c r="F47" s="58"/>
      <c r="G47" s="58">
        <v>1</v>
      </c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</row>
    <row r="48" spans="1:19" ht="15" x14ac:dyDescent="0.25">
      <c r="A48" s="63">
        <v>38429</v>
      </c>
      <c r="B48" s="64"/>
      <c r="C48" s="65" t="s">
        <v>57</v>
      </c>
      <c r="D48" s="65"/>
      <c r="E48" s="58"/>
      <c r="F48" s="58"/>
      <c r="G48" s="58">
        <v>1</v>
      </c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</row>
    <row r="49" spans="1:19" ht="15" x14ac:dyDescent="0.25">
      <c r="A49" s="63">
        <v>38430</v>
      </c>
      <c r="B49" s="64"/>
      <c r="C49" s="65" t="s">
        <v>66</v>
      </c>
      <c r="D49" s="65"/>
      <c r="E49" s="58"/>
      <c r="F49" s="58"/>
      <c r="G49" s="58">
        <v>1</v>
      </c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</row>
    <row r="50" spans="1:19" ht="15" x14ac:dyDescent="0.25">
      <c r="A50" s="63">
        <v>38431</v>
      </c>
      <c r="B50" s="64"/>
      <c r="C50" s="65" t="s">
        <v>67</v>
      </c>
      <c r="D50" s="65"/>
      <c r="E50" s="58"/>
      <c r="F50" s="58"/>
      <c r="G50" s="58">
        <v>1</v>
      </c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</row>
    <row r="51" spans="1:19" ht="15" x14ac:dyDescent="0.25">
      <c r="A51" s="63">
        <v>38436</v>
      </c>
      <c r="B51" s="64"/>
      <c r="C51" s="65" t="s">
        <v>60</v>
      </c>
      <c r="D51" s="65"/>
      <c r="E51" s="58"/>
      <c r="F51" s="58"/>
      <c r="G51" s="58">
        <v>1</v>
      </c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</row>
    <row r="52" spans="1:19" ht="15" x14ac:dyDescent="0.25">
      <c r="A52" s="63">
        <v>38438</v>
      </c>
      <c r="B52" s="64"/>
      <c r="C52" s="65" t="s">
        <v>61</v>
      </c>
      <c r="D52" s="65"/>
      <c r="E52" s="58"/>
      <c r="F52" s="58"/>
      <c r="G52" s="58">
        <v>1</v>
      </c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</row>
    <row r="53" spans="1:19" ht="15" x14ac:dyDescent="0.25">
      <c r="A53" s="63">
        <v>38443</v>
      </c>
      <c r="B53" s="64"/>
      <c r="C53" s="65" t="s">
        <v>33</v>
      </c>
      <c r="D53" s="65"/>
      <c r="E53" s="58"/>
      <c r="F53" s="58"/>
      <c r="G53" s="58">
        <v>1</v>
      </c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</row>
    <row r="54" spans="1:19" ht="15" x14ac:dyDescent="0.25">
      <c r="A54" s="63">
        <v>38450</v>
      </c>
      <c r="B54" s="64"/>
      <c r="C54" s="65" t="s">
        <v>63</v>
      </c>
      <c r="D54" s="65"/>
      <c r="E54" s="58"/>
      <c r="F54" s="58"/>
      <c r="G54" s="58">
        <v>1</v>
      </c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</row>
    <row r="55" spans="1:19" ht="15" x14ac:dyDescent="0.25">
      <c r="A55" s="63">
        <v>38478</v>
      </c>
      <c r="B55" s="64"/>
      <c r="C55" s="65" t="s">
        <v>33</v>
      </c>
      <c r="D55" s="65"/>
      <c r="E55" s="58"/>
      <c r="F55" s="58"/>
      <c r="G55" s="58">
        <v>1</v>
      </c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</row>
    <row r="56" spans="1:19" ht="15" x14ac:dyDescent="0.25">
      <c r="A56" s="63">
        <v>38493</v>
      </c>
      <c r="B56" s="64"/>
      <c r="C56" s="65" t="s">
        <v>68</v>
      </c>
      <c r="D56" s="65"/>
      <c r="E56" s="58"/>
      <c r="F56" s="58"/>
      <c r="G56" s="58">
        <v>1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</row>
    <row r="57" spans="1:19" ht="15" x14ac:dyDescent="0.25">
      <c r="A57" s="66">
        <v>38496</v>
      </c>
      <c r="B57" s="64"/>
      <c r="C57" s="65" t="s">
        <v>70</v>
      </c>
      <c r="D57" s="65"/>
      <c r="E57" s="58"/>
      <c r="F57" s="58"/>
      <c r="G57" s="58">
        <v>1</v>
      </c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</row>
    <row r="58" spans="1:19" ht="15" x14ac:dyDescent="0.25">
      <c r="A58" s="63">
        <v>38506</v>
      </c>
      <c r="B58" s="64"/>
      <c r="C58" s="65" t="s">
        <v>33</v>
      </c>
      <c r="D58" s="65"/>
      <c r="E58" s="58"/>
      <c r="F58" s="58"/>
      <c r="G58" s="58">
        <v>1</v>
      </c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</row>
    <row r="59" spans="1:19" ht="15" x14ac:dyDescent="0.25">
      <c r="A59" s="63">
        <v>38507</v>
      </c>
      <c r="B59" s="64"/>
      <c r="C59" s="65" t="s">
        <v>61</v>
      </c>
      <c r="D59" s="65"/>
      <c r="E59" s="58"/>
      <c r="F59" s="58"/>
      <c r="G59" s="58">
        <v>1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</row>
    <row r="60" spans="1:19" ht="15" x14ac:dyDescent="0.25">
      <c r="A60" s="63">
        <v>38523</v>
      </c>
      <c r="B60" s="64"/>
      <c r="C60" s="65" t="s">
        <v>41</v>
      </c>
      <c r="D60" s="65"/>
      <c r="E60" s="58"/>
      <c r="F60" s="58"/>
      <c r="G60" s="58">
        <v>1</v>
      </c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</row>
    <row r="61" spans="1:19" ht="15" x14ac:dyDescent="0.25">
      <c r="A61" s="63">
        <v>38526</v>
      </c>
      <c r="B61" s="64"/>
      <c r="C61" s="65" t="s">
        <v>72</v>
      </c>
      <c r="D61" s="65"/>
      <c r="E61" s="58"/>
      <c r="F61" s="58"/>
      <c r="G61" s="58">
        <v>1</v>
      </c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</row>
    <row r="62" spans="1:19" ht="15" x14ac:dyDescent="0.25">
      <c r="A62" s="63">
        <v>38543</v>
      </c>
      <c r="B62" s="64"/>
      <c r="C62" s="65" t="s">
        <v>61</v>
      </c>
      <c r="D62" s="65"/>
      <c r="E62" s="58"/>
      <c r="F62" s="58"/>
      <c r="G62" s="58">
        <v>1</v>
      </c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</row>
    <row r="63" spans="1:19" ht="15" x14ac:dyDescent="0.25">
      <c r="A63" s="63">
        <v>38592</v>
      </c>
      <c r="B63" s="64"/>
      <c r="C63" s="65" t="s">
        <v>61</v>
      </c>
      <c r="D63" s="65"/>
      <c r="E63" s="58"/>
      <c r="F63" s="58"/>
      <c r="G63" s="58">
        <v>1</v>
      </c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</row>
    <row r="64" spans="1:19" ht="15" x14ac:dyDescent="0.25">
      <c r="A64" s="63">
        <v>38618</v>
      </c>
      <c r="B64" s="64"/>
      <c r="C64" s="65" t="s">
        <v>74</v>
      </c>
      <c r="D64" s="65"/>
      <c r="E64" s="58"/>
      <c r="F64" s="58"/>
      <c r="G64" s="58">
        <v>1</v>
      </c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</row>
    <row r="65" spans="1:19" ht="15" x14ac:dyDescent="0.25">
      <c r="A65" s="63">
        <v>38618</v>
      </c>
      <c r="B65" s="64"/>
      <c r="C65" s="65" t="s">
        <v>80</v>
      </c>
      <c r="D65" s="65"/>
      <c r="E65" s="58"/>
      <c r="F65" s="58"/>
      <c r="G65" s="58">
        <v>1</v>
      </c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</row>
    <row r="66" spans="1:19" ht="15" x14ac:dyDescent="0.25">
      <c r="A66" s="63">
        <v>38619</v>
      </c>
      <c r="B66" s="64"/>
      <c r="C66" s="65" t="s">
        <v>80</v>
      </c>
      <c r="D66" s="65"/>
      <c r="E66" s="58"/>
      <c r="F66" s="58"/>
      <c r="G66" s="58">
        <v>1</v>
      </c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</row>
    <row r="67" spans="1:19" ht="15" x14ac:dyDescent="0.25">
      <c r="A67" s="66">
        <v>38632</v>
      </c>
      <c r="B67" s="64"/>
      <c r="C67" s="65" t="s">
        <v>33</v>
      </c>
      <c r="D67" s="65"/>
      <c r="E67" s="58"/>
      <c r="F67" s="58"/>
      <c r="G67" s="58">
        <v>1</v>
      </c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</row>
    <row r="68" spans="1:19" ht="15" x14ac:dyDescent="0.25">
      <c r="A68" s="66">
        <v>38634</v>
      </c>
      <c r="B68" s="64"/>
      <c r="C68" s="65" t="s">
        <v>79</v>
      </c>
      <c r="D68" s="65"/>
      <c r="E68" s="58"/>
      <c r="F68" s="58"/>
      <c r="G68" s="58">
        <v>1</v>
      </c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</row>
    <row r="69" spans="1:19" ht="15" x14ac:dyDescent="0.25">
      <c r="A69" s="66">
        <v>38660</v>
      </c>
      <c r="B69" s="64"/>
      <c r="C69" s="65" t="s">
        <v>33</v>
      </c>
      <c r="D69" s="65"/>
      <c r="E69" s="58"/>
      <c r="F69" s="58"/>
      <c r="G69" s="58">
        <v>1</v>
      </c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</row>
    <row r="70" spans="1:19" ht="15" x14ac:dyDescent="0.25">
      <c r="A70" s="66">
        <v>38694</v>
      </c>
      <c r="B70" s="64"/>
      <c r="C70" s="65" t="s">
        <v>81</v>
      </c>
      <c r="D70" s="65"/>
      <c r="E70" s="58"/>
      <c r="F70" s="58"/>
      <c r="G70" s="58">
        <v>1</v>
      </c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</row>
    <row r="71" spans="1:19" ht="15" x14ac:dyDescent="0.25">
      <c r="A71" s="63">
        <v>38702</v>
      </c>
      <c r="B71" s="64"/>
      <c r="C71" s="65" t="s">
        <v>83</v>
      </c>
      <c r="D71" s="65"/>
      <c r="E71" s="58"/>
      <c r="F71" s="58"/>
      <c r="G71" s="58">
        <v>1</v>
      </c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</row>
    <row r="72" spans="1:19" ht="15" x14ac:dyDescent="0.25">
      <c r="A72" s="60"/>
      <c r="B72" s="60"/>
      <c r="C72" s="60"/>
      <c r="D72" s="60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</row>
    <row r="73" spans="1:19" ht="15" x14ac:dyDescent="0.25">
      <c r="A73" s="67">
        <v>38801</v>
      </c>
      <c r="B73" s="68"/>
      <c r="C73" s="69" t="s">
        <v>86</v>
      </c>
      <c r="D73" s="69"/>
      <c r="E73" s="58"/>
      <c r="F73" s="58"/>
      <c r="G73" s="58"/>
      <c r="H73" s="58">
        <v>1</v>
      </c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</row>
    <row r="74" spans="1:19" ht="15" x14ac:dyDescent="0.25">
      <c r="A74" s="67">
        <v>38802</v>
      </c>
      <c r="B74" s="68"/>
      <c r="C74" s="69" t="s">
        <v>86</v>
      </c>
      <c r="D74" s="69"/>
      <c r="E74" s="58"/>
      <c r="F74" s="58"/>
      <c r="G74" s="58"/>
      <c r="H74" s="58">
        <v>1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</row>
    <row r="75" spans="1:19" ht="15" x14ac:dyDescent="0.25">
      <c r="A75" s="67">
        <v>38808</v>
      </c>
      <c r="B75" s="68"/>
      <c r="C75" s="69" t="s">
        <v>87</v>
      </c>
      <c r="D75" s="69"/>
      <c r="E75" s="58"/>
      <c r="F75" s="58"/>
      <c r="G75" s="58"/>
      <c r="H75" s="58">
        <v>1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</row>
    <row r="76" spans="1:19" ht="15" x14ac:dyDescent="0.25">
      <c r="A76" s="67">
        <v>38809</v>
      </c>
      <c r="B76" s="68"/>
      <c r="C76" s="69" t="s">
        <v>87</v>
      </c>
      <c r="D76" s="69"/>
      <c r="E76" s="58"/>
      <c r="F76" s="58"/>
      <c r="G76" s="58"/>
      <c r="H76" s="58">
        <v>1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</row>
    <row r="77" spans="1:19" ht="15" x14ac:dyDescent="0.25">
      <c r="A77" s="67">
        <v>38814</v>
      </c>
      <c r="B77" s="68"/>
      <c r="C77" s="69" t="s">
        <v>88</v>
      </c>
      <c r="D77" s="69"/>
      <c r="E77" s="58"/>
      <c r="F77" s="58"/>
      <c r="G77" s="58"/>
      <c r="H77" s="58">
        <v>1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</row>
    <row r="78" spans="1:19" ht="15" x14ac:dyDescent="0.25">
      <c r="A78" s="67">
        <v>38815</v>
      </c>
      <c r="B78" s="70" t="s">
        <v>94</v>
      </c>
      <c r="C78" s="69" t="s">
        <v>89</v>
      </c>
      <c r="D78" s="69"/>
      <c r="E78" s="58"/>
      <c r="F78" s="58"/>
      <c r="G78" s="58"/>
      <c r="H78" s="58">
        <v>1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</row>
    <row r="79" spans="1:19" ht="15" x14ac:dyDescent="0.25">
      <c r="A79" s="67">
        <v>38821</v>
      </c>
      <c r="B79" s="70" t="s">
        <v>94</v>
      </c>
      <c r="C79" s="69" t="s">
        <v>60</v>
      </c>
      <c r="D79" s="69"/>
      <c r="E79" s="58"/>
      <c r="F79" s="58"/>
      <c r="G79" s="58"/>
      <c r="H79" s="58">
        <v>1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</row>
    <row r="80" spans="1:19" ht="15" x14ac:dyDescent="0.25">
      <c r="A80" s="67">
        <v>38859</v>
      </c>
      <c r="B80" s="68"/>
      <c r="C80" s="69" t="s">
        <v>90</v>
      </c>
      <c r="D80" s="69"/>
      <c r="E80" s="58"/>
      <c r="F80" s="58"/>
      <c r="G80" s="58"/>
      <c r="H80" s="58">
        <v>1</v>
      </c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</row>
    <row r="81" spans="1:19" ht="15" x14ac:dyDescent="0.25">
      <c r="A81" s="67">
        <v>38860</v>
      </c>
      <c r="B81" s="68"/>
      <c r="C81" s="69" t="s">
        <v>90</v>
      </c>
      <c r="D81" s="69"/>
      <c r="E81" s="58"/>
      <c r="F81" s="58"/>
      <c r="G81" s="58"/>
      <c r="H81" s="58">
        <v>1</v>
      </c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</row>
    <row r="82" spans="1:19" ht="15" x14ac:dyDescent="0.25">
      <c r="A82" s="71">
        <v>38496</v>
      </c>
      <c r="B82" s="72" t="s">
        <v>94</v>
      </c>
      <c r="C82" s="69" t="s">
        <v>70</v>
      </c>
      <c r="D82" s="69"/>
      <c r="E82" s="58"/>
      <c r="F82" s="58"/>
      <c r="G82" s="58"/>
      <c r="H82" s="58">
        <v>1</v>
      </c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</row>
    <row r="83" spans="1:19" ht="15" x14ac:dyDescent="0.25">
      <c r="A83" s="67">
        <v>38862</v>
      </c>
      <c r="B83" s="68"/>
      <c r="C83" s="69" t="s">
        <v>90</v>
      </c>
      <c r="D83" s="69"/>
      <c r="E83" s="58"/>
      <c r="F83" s="58"/>
      <c r="G83" s="58"/>
      <c r="H83" s="58">
        <v>1</v>
      </c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</row>
    <row r="84" spans="1:19" ht="15" x14ac:dyDescent="0.25">
      <c r="A84" s="67">
        <v>38863</v>
      </c>
      <c r="B84" s="68"/>
      <c r="C84" s="69" t="s">
        <v>90</v>
      </c>
      <c r="D84" s="69"/>
      <c r="E84" s="58"/>
      <c r="F84" s="58"/>
      <c r="G84" s="58"/>
      <c r="H84" s="58">
        <v>1</v>
      </c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</row>
    <row r="85" spans="1:19" ht="15" x14ac:dyDescent="0.25">
      <c r="A85" s="67">
        <v>38864</v>
      </c>
      <c r="B85" s="68"/>
      <c r="C85" s="69" t="s">
        <v>97</v>
      </c>
      <c r="D85" s="69"/>
      <c r="E85" s="58"/>
      <c r="F85" s="58"/>
      <c r="G85" s="58"/>
      <c r="H85" s="58">
        <v>1</v>
      </c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</row>
    <row r="86" spans="1:19" ht="15" x14ac:dyDescent="0.25">
      <c r="A86" s="67">
        <v>38865</v>
      </c>
      <c r="B86" s="68"/>
      <c r="C86" s="69" t="s">
        <v>90</v>
      </c>
      <c r="D86" s="69"/>
      <c r="E86" s="58"/>
      <c r="F86" s="58"/>
      <c r="G86" s="58"/>
      <c r="H86" s="58">
        <v>1</v>
      </c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</row>
    <row r="87" spans="1:19" ht="15" x14ac:dyDescent="0.25">
      <c r="A87" s="67">
        <v>38867</v>
      </c>
      <c r="B87" s="68"/>
      <c r="C87" s="69" t="s">
        <v>90</v>
      </c>
      <c r="D87" s="69"/>
      <c r="E87" s="58"/>
      <c r="F87" s="58"/>
      <c r="G87" s="58"/>
      <c r="H87" s="58">
        <v>1</v>
      </c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</row>
    <row r="88" spans="1:19" ht="15" x14ac:dyDescent="0.25">
      <c r="A88" s="71">
        <v>38869</v>
      </c>
      <c r="B88" s="68"/>
      <c r="C88" s="69" t="s">
        <v>90</v>
      </c>
      <c r="D88" s="69"/>
      <c r="E88" s="58"/>
      <c r="F88" s="58"/>
      <c r="G88" s="58"/>
      <c r="H88" s="58">
        <v>1</v>
      </c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</row>
    <row r="89" spans="1:19" ht="15" x14ac:dyDescent="0.25">
      <c r="A89" s="67">
        <v>38870</v>
      </c>
      <c r="B89" s="72" t="s">
        <v>94</v>
      </c>
      <c r="C89" s="69" t="s">
        <v>100</v>
      </c>
      <c r="D89" s="69"/>
      <c r="E89" s="58"/>
      <c r="F89" s="58"/>
      <c r="G89" s="58"/>
      <c r="H89" s="58">
        <v>1</v>
      </c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</row>
    <row r="90" spans="1:19" ht="15" x14ac:dyDescent="0.25">
      <c r="A90" s="67">
        <v>38871</v>
      </c>
      <c r="B90" s="68"/>
      <c r="C90" s="69" t="s">
        <v>97</v>
      </c>
      <c r="D90" s="69"/>
      <c r="E90" s="58"/>
      <c r="F90" s="58"/>
      <c r="G90" s="58"/>
      <c r="H90" s="58">
        <v>1</v>
      </c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</row>
    <row r="91" spans="1:19" ht="15" x14ac:dyDescent="0.25">
      <c r="A91" s="67">
        <v>38872</v>
      </c>
      <c r="B91" s="72" t="s">
        <v>94</v>
      </c>
      <c r="C91" s="69" t="s">
        <v>97</v>
      </c>
      <c r="D91" s="69"/>
      <c r="E91" s="58"/>
      <c r="F91" s="58"/>
      <c r="G91" s="58"/>
      <c r="H91" s="58">
        <v>1</v>
      </c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</row>
    <row r="92" spans="1:19" ht="15" x14ac:dyDescent="0.25">
      <c r="A92" s="67">
        <v>38873</v>
      </c>
      <c r="B92" s="72" t="s">
        <v>94</v>
      </c>
      <c r="C92" s="69" t="s">
        <v>103</v>
      </c>
      <c r="D92" s="69"/>
      <c r="E92" s="58"/>
      <c r="F92" s="58"/>
      <c r="G92" s="58"/>
      <c r="H92" s="58">
        <v>1</v>
      </c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</row>
    <row r="93" spans="1:19" ht="15" x14ac:dyDescent="0.25">
      <c r="A93" s="67">
        <v>38884</v>
      </c>
      <c r="B93" s="72" t="s">
        <v>94</v>
      </c>
      <c r="C93" s="69" t="s">
        <v>114</v>
      </c>
      <c r="D93" s="69"/>
      <c r="E93" s="58"/>
      <c r="F93" s="58"/>
      <c r="G93" s="58"/>
      <c r="H93" s="58">
        <v>1</v>
      </c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</row>
    <row r="94" spans="1:19" ht="15" x14ac:dyDescent="0.25">
      <c r="A94" s="67">
        <v>38885</v>
      </c>
      <c r="B94" s="72" t="s">
        <v>94</v>
      </c>
      <c r="C94" s="69" t="s">
        <v>114</v>
      </c>
      <c r="D94" s="69"/>
      <c r="E94" s="58"/>
      <c r="F94" s="58"/>
      <c r="G94" s="58"/>
      <c r="H94" s="58">
        <v>1</v>
      </c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</row>
    <row r="95" spans="1:19" ht="15" x14ac:dyDescent="0.25">
      <c r="A95" s="67">
        <v>38886</v>
      </c>
      <c r="B95" s="72" t="s">
        <v>94</v>
      </c>
      <c r="C95" s="69" t="s">
        <v>114</v>
      </c>
      <c r="D95" s="69"/>
      <c r="E95" s="58"/>
      <c r="F95" s="58"/>
      <c r="G95" s="58"/>
      <c r="H95" s="58">
        <v>1</v>
      </c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</row>
    <row r="96" spans="1:19" ht="15" x14ac:dyDescent="0.25">
      <c r="A96" s="67">
        <v>38891</v>
      </c>
      <c r="B96" s="72" t="s">
        <v>94</v>
      </c>
      <c r="C96" s="69" t="s">
        <v>72</v>
      </c>
      <c r="D96" s="69"/>
      <c r="E96" s="58"/>
      <c r="F96" s="58"/>
      <c r="G96" s="58"/>
      <c r="H96" s="58">
        <v>1</v>
      </c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</row>
    <row r="97" spans="1:19" ht="15" x14ac:dyDescent="0.25">
      <c r="A97" s="67">
        <v>38892</v>
      </c>
      <c r="B97" s="72" t="s">
        <v>94</v>
      </c>
      <c r="C97" s="69" t="s">
        <v>108</v>
      </c>
      <c r="D97" s="69"/>
      <c r="E97" s="58"/>
      <c r="F97" s="58"/>
      <c r="G97" s="58"/>
      <c r="H97" s="58">
        <v>1</v>
      </c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</row>
    <row r="98" spans="1:19" ht="15" x14ac:dyDescent="0.25">
      <c r="A98" s="71">
        <v>38892</v>
      </c>
      <c r="B98" s="72" t="s">
        <v>94</v>
      </c>
      <c r="C98" s="69" t="s">
        <v>110</v>
      </c>
      <c r="D98" s="69"/>
      <c r="E98" s="58"/>
      <c r="F98" s="58"/>
      <c r="G98" s="58"/>
      <c r="H98" s="58">
        <v>1</v>
      </c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</row>
    <row r="99" spans="1:19" ht="15" x14ac:dyDescent="0.25">
      <c r="A99" s="71">
        <v>38910</v>
      </c>
      <c r="B99" s="72" t="s">
        <v>94</v>
      </c>
      <c r="C99" s="69" t="s">
        <v>112</v>
      </c>
      <c r="D99" s="69"/>
      <c r="E99" s="58"/>
      <c r="F99" s="58"/>
      <c r="G99" s="58"/>
      <c r="H99" s="58">
        <v>1</v>
      </c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</row>
    <row r="100" spans="1:19" ht="15" x14ac:dyDescent="0.25">
      <c r="A100" s="71">
        <v>38977</v>
      </c>
      <c r="B100" s="72" t="s">
        <v>94</v>
      </c>
      <c r="C100" s="69" t="s">
        <v>115</v>
      </c>
      <c r="D100" s="69"/>
      <c r="E100" s="58"/>
      <c r="F100" s="58"/>
      <c r="G100" s="58"/>
      <c r="H100" s="58">
        <v>1</v>
      </c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</row>
    <row r="101" spans="1:19" ht="15" x14ac:dyDescent="0.25">
      <c r="A101" s="71">
        <v>38983</v>
      </c>
      <c r="B101" s="72" t="s">
        <v>94</v>
      </c>
      <c r="C101" s="69" t="s">
        <v>117</v>
      </c>
      <c r="D101" s="69"/>
      <c r="E101" s="58"/>
      <c r="F101" s="58"/>
      <c r="G101" s="58"/>
      <c r="H101" s="58">
        <v>1</v>
      </c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</row>
    <row r="102" spans="1:19" ht="15" x14ac:dyDescent="0.25">
      <c r="A102" s="67">
        <v>38990</v>
      </c>
      <c r="B102" s="68"/>
      <c r="C102" s="69" t="s">
        <v>119</v>
      </c>
      <c r="D102" s="69"/>
      <c r="E102" s="58"/>
      <c r="F102" s="58"/>
      <c r="G102" s="58"/>
      <c r="H102" s="58">
        <v>1</v>
      </c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</row>
    <row r="103" spans="1:19" ht="15" x14ac:dyDescent="0.25">
      <c r="A103" s="67">
        <v>38991</v>
      </c>
      <c r="B103" s="68"/>
      <c r="C103" s="69" t="s">
        <v>119</v>
      </c>
      <c r="D103" s="69"/>
      <c r="E103" s="58"/>
      <c r="F103" s="58"/>
      <c r="G103" s="58"/>
      <c r="H103" s="58">
        <v>1</v>
      </c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</row>
    <row r="104" spans="1:19" ht="15" x14ac:dyDescent="0.25">
      <c r="A104" s="67">
        <v>38993</v>
      </c>
      <c r="B104" s="68"/>
      <c r="C104" s="69" t="s">
        <v>119</v>
      </c>
      <c r="D104" s="69"/>
      <c r="E104" s="58"/>
      <c r="F104" s="58"/>
      <c r="G104" s="58"/>
      <c r="H104" s="58">
        <v>1</v>
      </c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</row>
    <row r="105" spans="1:19" ht="15" x14ac:dyDescent="0.25">
      <c r="A105" s="67">
        <v>38995</v>
      </c>
      <c r="B105" s="68"/>
      <c r="C105" s="69" t="s">
        <v>119</v>
      </c>
      <c r="D105" s="69"/>
      <c r="E105" s="58"/>
      <c r="F105" s="58"/>
      <c r="G105" s="58"/>
      <c r="H105" s="58">
        <v>1</v>
      </c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</row>
    <row r="106" spans="1:19" ht="15" x14ac:dyDescent="0.25">
      <c r="A106" s="67">
        <v>38997</v>
      </c>
      <c r="B106" s="68"/>
      <c r="C106" s="69" t="s">
        <v>119</v>
      </c>
      <c r="D106" s="69"/>
      <c r="E106" s="58"/>
      <c r="F106" s="58"/>
      <c r="G106" s="58"/>
      <c r="H106" s="58">
        <v>1</v>
      </c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</row>
    <row r="107" spans="1:19" ht="15" x14ac:dyDescent="0.25">
      <c r="A107" s="67">
        <v>39025</v>
      </c>
      <c r="B107" s="72" t="s">
        <v>94</v>
      </c>
      <c r="C107" s="69" t="s">
        <v>121</v>
      </c>
      <c r="D107" s="69"/>
      <c r="E107" s="58"/>
      <c r="F107" s="58"/>
      <c r="G107" s="58"/>
      <c r="H107" s="58">
        <v>1</v>
      </c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</row>
    <row r="108" spans="1:19" ht="15" x14ac:dyDescent="0.25">
      <c r="A108" s="67">
        <v>39026</v>
      </c>
      <c r="B108" s="72" t="s">
        <v>94</v>
      </c>
      <c r="C108" s="69" t="s">
        <v>121</v>
      </c>
      <c r="D108" s="69"/>
      <c r="E108" s="58"/>
      <c r="F108" s="58"/>
      <c r="G108" s="58"/>
      <c r="H108" s="58">
        <v>1</v>
      </c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</row>
    <row r="109" spans="1:19" ht="15" x14ac:dyDescent="0.25">
      <c r="A109" s="71">
        <v>39047</v>
      </c>
      <c r="B109" s="72" t="s">
        <v>94</v>
      </c>
      <c r="C109" s="73" t="s">
        <v>124</v>
      </c>
      <c r="D109" s="73"/>
      <c r="E109" s="58"/>
      <c r="F109" s="58"/>
      <c r="G109" s="58"/>
      <c r="H109" s="58">
        <v>1</v>
      </c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</row>
    <row r="110" spans="1:19" ht="15" x14ac:dyDescent="0.25">
      <c r="A110" s="67">
        <v>39054</v>
      </c>
      <c r="B110" s="72" t="s">
        <v>94</v>
      </c>
      <c r="C110" s="73" t="s">
        <v>124</v>
      </c>
      <c r="D110" s="73"/>
      <c r="E110" s="58"/>
      <c r="F110" s="58"/>
      <c r="G110" s="58"/>
      <c r="H110" s="58">
        <v>1</v>
      </c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</row>
    <row r="111" spans="1:19" ht="15" x14ac:dyDescent="0.25">
      <c r="A111" s="67">
        <v>39067</v>
      </c>
      <c r="B111" s="72" t="s">
        <v>94</v>
      </c>
      <c r="C111" s="69" t="s">
        <v>127</v>
      </c>
      <c r="D111" s="69"/>
      <c r="E111" s="58"/>
      <c r="F111" s="58"/>
      <c r="G111" s="58"/>
      <c r="H111" s="58">
        <v>1</v>
      </c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</row>
    <row r="112" spans="1:19" ht="15" x14ac:dyDescent="0.25">
      <c r="A112" s="60"/>
      <c r="B112" s="60"/>
      <c r="C112" s="60"/>
      <c r="D112" s="60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</row>
    <row r="113" spans="1:19" ht="15" x14ac:dyDescent="0.25">
      <c r="A113" s="74">
        <v>39117</v>
      </c>
      <c r="B113" s="75" t="s">
        <v>94</v>
      </c>
      <c r="C113" s="76" t="s">
        <v>130</v>
      </c>
      <c r="D113" s="76"/>
      <c r="E113" s="58"/>
      <c r="F113" s="58"/>
      <c r="G113" s="58"/>
      <c r="H113" s="58"/>
      <c r="I113" s="58">
        <v>1</v>
      </c>
      <c r="J113" s="58"/>
      <c r="K113" s="58"/>
      <c r="L113" s="58"/>
      <c r="M113" s="58"/>
      <c r="N113" s="58"/>
      <c r="O113" s="58"/>
      <c r="P113" s="58"/>
      <c r="Q113" s="58"/>
      <c r="R113" s="58"/>
      <c r="S113" s="58"/>
    </row>
    <row r="114" spans="1:19" ht="15" x14ac:dyDescent="0.25">
      <c r="A114" s="74">
        <v>39152</v>
      </c>
      <c r="B114" s="75" t="s">
        <v>94</v>
      </c>
      <c r="C114" s="76" t="s">
        <v>132</v>
      </c>
      <c r="D114" s="76"/>
      <c r="E114" s="58"/>
      <c r="F114" s="58"/>
      <c r="G114" s="58"/>
      <c r="H114" s="58"/>
      <c r="I114" s="58">
        <v>1</v>
      </c>
      <c r="J114" s="58"/>
      <c r="K114" s="58"/>
      <c r="L114" s="58"/>
      <c r="M114" s="58"/>
      <c r="N114" s="58"/>
      <c r="O114" s="58"/>
      <c r="P114" s="58"/>
      <c r="Q114" s="58"/>
      <c r="R114" s="58"/>
      <c r="S114" s="58"/>
    </row>
    <row r="115" spans="1:19" ht="15" x14ac:dyDescent="0.25">
      <c r="A115" s="74">
        <v>39165</v>
      </c>
      <c r="B115" s="75" t="s">
        <v>139</v>
      </c>
      <c r="C115" s="76" t="s">
        <v>63</v>
      </c>
      <c r="D115" s="76"/>
      <c r="E115" s="58"/>
      <c r="F115" s="58"/>
      <c r="G115" s="58"/>
      <c r="H115" s="58"/>
      <c r="I115" s="58">
        <v>1</v>
      </c>
      <c r="J115" s="58"/>
      <c r="K115" s="58"/>
      <c r="L115" s="58"/>
      <c r="M115" s="58"/>
      <c r="N115" s="58"/>
      <c r="O115" s="58"/>
      <c r="P115" s="58"/>
      <c r="Q115" s="58"/>
      <c r="R115" s="58"/>
      <c r="S115" s="58"/>
    </row>
    <row r="116" spans="1:19" ht="15" x14ac:dyDescent="0.25">
      <c r="A116" s="74">
        <v>39235</v>
      </c>
      <c r="B116" s="75" t="s">
        <v>139</v>
      </c>
      <c r="C116" s="76" t="s">
        <v>144</v>
      </c>
      <c r="D116" s="76"/>
      <c r="E116" s="58"/>
      <c r="F116" s="58"/>
      <c r="G116" s="58"/>
      <c r="H116" s="58"/>
      <c r="I116" s="58">
        <v>1</v>
      </c>
      <c r="J116" s="58"/>
      <c r="K116" s="58"/>
      <c r="L116" s="58"/>
      <c r="M116" s="58"/>
      <c r="N116" s="58"/>
      <c r="O116" s="58"/>
      <c r="P116" s="58"/>
      <c r="Q116" s="58"/>
      <c r="R116" s="58"/>
      <c r="S116" s="58"/>
    </row>
    <row r="117" spans="1:19" ht="15" x14ac:dyDescent="0.25">
      <c r="A117" s="74">
        <v>39256</v>
      </c>
      <c r="B117" s="75" t="s">
        <v>139</v>
      </c>
      <c r="C117" s="76" t="s">
        <v>136</v>
      </c>
      <c r="D117" s="76"/>
      <c r="E117" s="58"/>
      <c r="F117" s="58"/>
      <c r="G117" s="58"/>
      <c r="H117" s="58"/>
      <c r="I117" s="58">
        <v>1</v>
      </c>
      <c r="J117" s="58"/>
      <c r="K117" s="58"/>
      <c r="L117" s="58"/>
      <c r="M117" s="58"/>
      <c r="N117" s="58"/>
      <c r="O117" s="58"/>
      <c r="P117" s="58"/>
      <c r="Q117" s="58"/>
      <c r="R117" s="58"/>
      <c r="S117" s="58"/>
    </row>
    <row r="118" spans="1:19" ht="15" x14ac:dyDescent="0.25">
      <c r="A118" s="74">
        <v>39257</v>
      </c>
      <c r="B118" s="75" t="s">
        <v>139</v>
      </c>
      <c r="C118" s="76" t="s">
        <v>138</v>
      </c>
      <c r="D118" s="76"/>
      <c r="E118" s="58"/>
      <c r="F118" s="58"/>
      <c r="G118" s="58"/>
      <c r="H118" s="58"/>
      <c r="I118" s="58">
        <v>1</v>
      </c>
      <c r="J118" s="58"/>
      <c r="K118" s="58"/>
      <c r="L118" s="58"/>
      <c r="M118" s="58"/>
      <c r="N118" s="58"/>
      <c r="O118" s="58"/>
      <c r="P118" s="58"/>
      <c r="Q118" s="58"/>
      <c r="R118" s="58"/>
      <c r="S118" s="58"/>
    </row>
    <row r="119" spans="1:19" ht="15" x14ac:dyDescent="0.25">
      <c r="A119" s="74">
        <v>39404</v>
      </c>
      <c r="B119" s="75" t="s">
        <v>139</v>
      </c>
      <c r="C119" s="76" t="s">
        <v>140</v>
      </c>
      <c r="D119" s="76"/>
      <c r="E119" s="58"/>
      <c r="F119" s="58"/>
      <c r="G119" s="58"/>
      <c r="H119" s="58"/>
      <c r="I119" s="58">
        <v>1</v>
      </c>
      <c r="J119" s="58"/>
      <c r="K119" s="58"/>
      <c r="L119" s="58"/>
      <c r="M119" s="58"/>
      <c r="N119" s="58"/>
      <c r="O119" s="58"/>
      <c r="P119" s="58"/>
      <c r="Q119" s="58"/>
      <c r="R119" s="58"/>
      <c r="S119" s="58"/>
    </row>
    <row r="120" spans="1:19" ht="15" x14ac:dyDescent="0.25">
      <c r="A120" s="60"/>
      <c r="B120" s="60"/>
      <c r="C120" s="60"/>
      <c r="D120" s="60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</row>
    <row r="121" spans="1:19" ht="15" x14ac:dyDescent="0.25">
      <c r="A121" s="77">
        <v>39623</v>
      </c>
      <c r="B121" s="78" t="s">
        <v>139</v>
      </c>
      <c r="C121" s="79" t="s">
        <v>142</v>
      </c>
      <c r="D121" s="79"/>
      <c r="E121" s="58"/>
      <c r="F121" s="58"/>
      <c r="G121" s="58"/>
      <c r="H121" s="58"/>
      <c r="I121" s="58"/>
      <c r="J121" s="58">
        <v>1</v>
      </c>
      <c r="K121" s="58"/>
      <c r="L121" s="58"/>
      <c r="M121" s="58"/>
      <c r="N121" s="58"/>
      <c r="O121" s="58"/>
      <c r="P121" s="58"/>
      <c r="Q121" s="58"/>
      <c r="R121" s="58"/>
      <c r="S121" s="58"/>
    </row>
    <row r="122" spans="1:19" ht="15" x14ac:dyDescent="0.25">
      <c r="A122" s="77">
        <v>39775</v>
      </c>
      <c r="B122" s="78" t="s">
        <v>139</v>
      </c>
      <c r="C122" s="80" t="s">
        <v>145</v>
      </c>
      <c r="D122" s="80"/>
      <c r="E122" s="58"/>
      <c r="F122" s="58"/>
      <c r="G122" s="58"/>
      <c r="H122" s="58"/>
      <c r="I122" s="58"/>
      <c r="J122" s="58">
        <v>1</v>
      </c>
      <c r="K122" s="58"/>
      <c r="L122" s="58"/>
      <c r="M122" s="58"/>
      <c r="N122" s="58"/>
      <c r="O122" s="58"/>
      <c r="P122" s="58"/>
      <c r="Q122" s="58"/>
      <c r="R122" s="58"/>
      <c r="S122" s="58"/>
    </row>
    <row r="123" spans="1:19" ht="15" x14ac:dyDescent="0.25">
      <c r="A123" s="77">
        <v>39782</v>
      </c>
      <c r="B123" s="78" t="s">
        <v>139</v>
      </c>
      <c r="C123" s="80" t="s">
        <v>147</v>
      </c>
      <c r="D123" s="80"/>
      <c r="E123" s="58"/>
      <c r="F123" s="58"/>
      <c r="G123" s="58"/>
      <c r="H123" s="58"/>
      <c r="I123" s="58"/>
      <c r="J123" s="58">
        <v>1</v>
      </c>
      <c r="K123" s="58"/>
      <c r="L123" s="58"/>
      <c r="M123" s="58"/>
      <c r="N123" s="58"/>
      <c r="O123" s="58"/>
      <c r="P123" s="58"/>
      <c r="Q123" s="58"/>
      <c r="R123" s="58"/>
      <c r="S123" s="58"/>
    </row>
    <row r="124" spans="1:19" ht="15" x14ac:dyDescent="0.25"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</row>
    <row r="125" spans="1:19" ht="15" x14ac:dyDescent="0.25">
      <c r="A125" s="81">
        <v>39879</v>
      </c>
      <c r="B125" s="82" t="s">
        <v>139</v>
      </c>
      <c r="C125" s="83" t="s">
        <v>151</v>
      </c>
      <c r="D125" s="83"/>
      <c r="E125" s="58"/>
      <c r="F125" s="58"/>
      <c r="G125" s="58"/>
      <c r="H125" s="58"/>
      <c r="I125" s="58"/>
      <c r="J125" s="58"/>
      <c r="K125" s="58">
        <v>1</v>
      </c>
      <c r="L125" s="58"/>
      <c r="M125" s="58"/>
      <c r="N125" s="58"/>
      <c r="O125" s="58"/>
      <c r="P125" s="58"/>
      <c r="Q125" s="58"/>
      <c r="R125" s="58"/>
      <c r="S125" s="58"/>
    </row>
    <row r="126" spans="1:19" ht="15" x14ac:dyDescent="0.25">
      <c r="A126" s="81">
        <v>40111</v>
      </c>
      <c r="B126" s="82" t="s">
        <v>139</v>
      </c>
      <c r="C126" s="84" t="s">
        <v>153</v>
      </c>
      <c r="D126" s="84"/>
      <c r="E126" s="58"/>
      <c r="F126" s="58"/>
      <c r="G126" s="58"/>
      <c r="H126" s="58"/>
      <c r="I126" s="58"/>
      <c r="J126" s="58"/>
      <c r="K126" s="58">
        <v>1</v>
      </c>
      <c r="L126" s="58"/>
      <c r="M126" s="58"/>
      <c r="N126" s="58"/>
      <c r="O126" s="58"/>
      <c r="P126" s="58"/>
      <c r="Q126" s="58"/>
      <c r="R126" s="58"/>
      <c r="S126" s="58"/>
    </row>
    <row r="127" spans="1:19" ht="15" x14ac:dyDescent="0.25">
      <c r="A127" s="81">
        <v>40118</v>
      </c>
      <c r="B127" s="82" t="s">
        <v>139</v>
      </c>
      <c r="C127" s="84" t="s">
        <v>153</v>
      </c>
      <c r="D127" s="84"/>
      <c r="E127" s="58"/>
      <c r="F127" s="58"/>
      <c r="G127" s="58"/>
      <c r="H127" s="58"/>
      <c r="I127" s="58"/>
      <c r="J127" s="58"/>
      <c r="K127" s="58">
        <v>1</v>
      </c>
      <c r="L127" s="58"/>
      <c r="M127" s="58"/>
      <c r="N127" s="58"/>
      <c r="O127" s="58"/>
      <c r="P127" s="58"/>
      <c r="Q127" s="58"/>
      <c r="R127" s="58"/>
      <c r="S127" s="58"/>
    </row>
    <row r="128" spans="1:19" ht="15" x14ac:dyDescent="0.25">
      <c r="A128" s="81">
        <v>40119</v>
      </c>
      <c r="B128" s="82" t="s">
        <v>139</v>
      </c>
      <c r="C128" s="84" t="s">
        <v>153</v>
      </c>
      <c r="D128" s="84"/>
      <c r="E128" s="58"/>
      <c r="F128" s="58"/>
      <c r="G128" s="58"/>
      <c r="H128" s="58"/>
      <c r="I128" s="58"/>
      <c r="J128" s="58"/>
      <c r="K128" s="58">
        <v>1</v>
      </c>
      <c r="L128" s="58"/>
      <c r="M128" s="58"/>
      <c r="N128" s="58"/>
      <c r="O128" s="58"/>
      <c r="P128" s="58"/>
      <c r="Q128" s="58"/>
      <c r="R128" s="58"/>
      <c r="S128" s="58"/>
    </row>
    <row r="129" spans="1:19" ht="15" x14ac:dyDescent="0.25"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</row>
    <row r="130" spans="1:19" ht="15" x14ac:dyDescent="0.25">
      <c r="A130" s="85">
        <v>40259</v>
      </c>
      <c r="B130" s="86" t="s">
        <v>139</v>
      </c>
      <c r="C130" s="87" t="s">
        <v>157</v>
      </c>
      <c r="D130" s="87"/>
      <c r="E130" s="58"/>
      <c r="F130" s="58"/>
      <c r="G130" s="58"/>
      <c r="H130" s="58"/>
      <c r="I130" s="58"/>
      <c r="J130" s="58"/>
      <c r="K130" s="58"/>
      <c r="L130" s="58">
        <v>1</v>
      </c>
      <c r="M130" s="58"/>
      <c r="N130" s="58"/>
      <c r="O130" s="58"/>
      <c r="P130" s="58"/>
      <c r="Q130" s="58"/>
      <c r="R130" s="58"/>
      <c r="S130" s="58"/>
    </row>
    <row r="131" spans="1:19" ht="15" x14ac:dyDescent="0.25">
      <c r="A131" s="85">
        <v>40265</v>
      </c>
      <c r="B131" s="86" t="s">
        <v>139</v>
      </c>
      <c r="C131" s="87" t="s">
        <v>157</v>
      </c>
      <c r="D131" s="87"/>
      <c r="E131" s="58"/>
      <c r="F131" s="58"/>
      <c r="G131" s="58"/>
      <c r="H131" s="58"/>
      <c r="I131" s="58"/>
      <c r="J131" s="58"/>
      <c r="K131" s="58"/>
      <c r="L131" s="58">
        <v>1</v>
      </c>
      <c r="M131" s="58"/>
      <c r="N131" s="58"/>
      <c r="O131" s="58"/>
      <c r="P131" s="58"/>
      <c r="Q131" s="58"/>
      <c r="R131" s="58"/>
      <c r="S131" s="58"/>
    </row>
    <row r="132" spans="1:19" ht="15" x14ac:dyDescent="0.25">
      <c r="A132" s="85">
        <v>40282</v>
      </c>
      <c r="B132" s="86" t="s">
        <v>139</v>
      </c>
      <c r="C132" s="88" t="s">
        <v>161</v>
      </c>
      <c r="D132" s="88"/>
      <c r="E132" s="58"/>
      <c r="F132" s="58"/>
      <c r="G132" s="58"/>
      <c r="H132" s="58"/>
      <c r="I132" s="58"/>
      <c r="J132" s="58"/>
      <c r="K132" s="58"/>
      <c r="L132" s="58">
        <v>1</v>
      </c>
      <c r="M132" s="58"/>
      <c r="N132" s="58"/>
      <c r="O132" s="58"/>
      <c r="P132" s="58"/>
      <c r="Q132" s="58"/>
      <c r="R132" s="58"/>
      <c r="S132" s="58"/>
    </row>
    <row r="133" spans="1:19" ht="15" x14ac:dyDescent="0.25">
      <c r="A133" s="85">
        <v>40283</v>
      </c>
      <c r="B133" s="86" t="s">
        <v>139</v>
      </c>
      <c r="C133" s="88" t="s">
        <v>161</v>
      </c>
      <c r="D133" s="88"/>
      <c r="E133" s="58"/>
      <c r="F133" s="58"/>
      <c r="G133" s="58"/>
      <c r="H133" s="58"/>
      <c r="I133" s="58"/>
      <c r="J133" s="58"/>
      <c r="K133" s="58"/>
      <c r="L133" s="58">
        <v>1</v>
      </c>
      <c r="M133" s="58"/>
      <c r="N133" s="58"/>
      <c r="O133" s="58"/>
      <c r="P133" s="58"/>
      <c r="Q133" s="58"/>
      <c r="R133" s="58"/>
      <c r="S133" s="58"/>
    </row>
    <row r="134" spans="1:19" ht="15" x14ac:dyDescent="0.25">
      <c r="A134" s="85">
        <v>40284</v>
      </c>
      <c r="B134" s="86" t="s">
        <v>139</v>
      </c>
      <c r="C134" s="88" t="s">
        <v>161</v>
      </c>
      <c r="D134" s="88"/>
      <c r="E134" s="58"/>
      <c r="F134" s="58"/>
      <c r="G134" s="58"/>
      <c r="H134" s="58"/>
      <c r="I134" s="58"/>
      <c r="J134" s="58"/>
      <c r="K134" s="58"/>
      <c r="L134" s="58">
        <v>1</v>
      </c>
      <c r="M134" s="58"/>
      <c r="N134" s="58"/>
      <c r="O134" s="58"/>
      <c r="P134" s="58"/>
      <c r="Q134" s="58"/>
      <c r="R134" s="58"/>
      <c r="S134" s="58"/>
    </row>
    <row r="135" spans="1:19" ht="15" x14ac:dyDescent="0.25">
      <c r="A135" s="85">
        <v>40286</v>
      </c>
      <c r="B135" s="86" t="s">
        <v>139</v>
      </c>
      <c r="C135" s="88" t="s">
        <v>164</v>
      </c>
      <c r="D135" s="88"/>
      <c r="E135" s="58"/>
      <c r="F135" s="58"/>
      <c r="G135" s="58"/>
      <c r="H135" s="58"/>
      <c r="I135" s="58"/>
      <c r="J135" s="58"/>
      <c r="K135" s="58"/>
      <c r="L135" s="58">
        <v>1</v>
      </c>
      <c r="M135" s="58"/>
      <c r="N135" s="58"/>
      <c r="O135" s="58"/>
      <c r="P135" s="58"/>
      <c r="Q135" s="58"/>
      <c r="R135" s="58"/>
      <c r="S135" s="58"/>
    </row>
    <row r="136" spans="1:19" ht="15" x14ac:dyDescent="0.25">
      <c r="A136" s="85">
        <v>40287</v>
      </c>
      <c r="B136" s="86" t="s">
        <v>139</v>
      </c>
      <c r="C136" s="88" t="s">
        <v>161</v>
      </c>
      <c r="D136" s="88"/>
      <c r="E136" s="58"/>
      <c r="F136" s="58"/>
      <c r="G136" s="58"/>
      <c r="H136" s="58"/>
      <c r="I136" s="58"/>
      <c r="J136" s="58"/>
      <c r="K136" s="58"/>
      <c r="L136" s="58">
        <v>1</v>
      </c>
      <c r="M136" s="58"/>
      <c r="N136" s="58"/>
      <c r="O136" s="58"/>
      <c r="P136" s="58"/>
      <c r="Q136" s="58"/>
      <c r="R136" s="58"/>
      <c r="S136" s="58"/>
    </row>
    <row r="137" spans="1:19" ht="15" x14ac:dyDescent="0.25">
      <c r="A137" s="85">
        <v>40289</v>
      </c>
      <c r="B137" s="86" t="s">
        <v>139</v>
      </c>
      <c r="C137" s="88" t="s">
        <v>161</v>
      </c>
      <c r="D137" s="88"/>
      <c r="E137" s="58"/>
      <c r="F137" s="58"/>
      <c r="G137" s="58"/>
      <c r="H137" s="58"/>
      <c r="I137" s="58"/>
      <c r="J137" s="58"/>
      <c r="K137" s="58"/>
      <c r="L137" s="58">
        <v>1</v>
      </c>
      <c r="M137" s="58"/>
      <c r="N137" s="58"/>
      <c r="O137" s="58"/>
      <c r="P137" s="58"/>
      <c r="Q137" s="58"/>
      <c r="R137" s="58"/>
      <c r="S137" s="58"/>
    </row>
    <row r="138" spans="1:19" ht="15" x14ac:dyDescent="0.25">
      <c r="A138" s="85">
        <v>40291</v>
      </c>
      <c r="B138" s="86" t="s">
        <v>139</v>
      </c>
      <c r="C138" s="88" t="s">
        <v>161</v>
      </c>
      <c r="D138" s="88"/>
      <c r="E138" s="58"/>
      <c r="F138" s="58"/>
      <c r="G138" s="58"/>
      <c r="H138" s="58"/>
      <c r="I138" s="58"/>
      <c r="J138" s="58"/>
      <c r="K138" s="58"/>
      <c r="L138" s="58">
        <v>1</v>
      </c>
      <c r="M138" s="58"/>
      <c r="N138" s="58"/>
      <c r="O138" s="58"/>
      <c r="P138" s="58"/>
      <c r="Q138" s="58"/>
      <c r="R138" s="58"/>
      <c r="S138" s="58"/>
    </row>
    <row r="139" spans="1:19" ht="15" x14ac:dyDescent="0.25">
      <c r="A139" s="85">
        <v>40292</v>
      </c>
      <c r="B139" s="86" t="s">
        <v>139</v>
      </c>
      <c r="C139" s="88" t="s">
        <v>782</v>
      </c>
      <c r="D139" s="88"/>
      <c r="E139" s="58"/>
      <c r="F139" s="58"/>
      <c r="G139" s="58"/>
      <c r="H139" s="58"/>
      <c r="I139" s="58"/>
      <c r="J139" s="58"/>
      <c r="K139" s="58"/>
      <c r="L139" s="58">
        <v>1</v>
      </c>
      <c r="M139" s="58"/>
      <c r="N139" s="58"/>
      <c r="O139" s="58"/>
      <c r="P139" s="58"/>
      <c r="Q139" s="58"/>
      <c r="R139" s="58"/>
      <c r="S139" s="58"/>
    </row>
    <row r="140" spans="1:19" ht="15" x14ac:dyDescent="0.25">
      <c r="A140" s="85">
        <v>40296</v>
      </c>
      <c r="B140" s="86" t="s">
        <v>139</v>
      </c>
      <c r="C140" s="88" t="s">
        <v>161</v>
      </c>
      <c r="D140" s="88"/>
      <c r="E140" s="58"/>
      <c r="F140" s="58"/>
      <c r="G140" s="58"/>
      <c r="H140" s="58"/>
      <c r="I140" s="58"/>
      <c r="J140" s="58"/>
      <c r="K140" s="58"/>
      <c r="L140" s="58">
        <v>1</v>
      </c>
      <c r="M140" s="58"/>
      <c r="N140" s="58"/>
      <c r="O140" s="58"/>
      <c r="P140" s="58"/>
      <c r="Q140" s="58"/>
      <c r="R140" s="58"/>
      <c r="S140" s="58"/>
    </row>
    <row r="141" spans="1:19" ht="15" x14ac:dyDescent="0.25">
      <c r="A141" s="85">
        <v>40299</v>
      </c>
      <c r="B141" s="86" t="s">
        <v>139</v>
      </c>
      <c r="C141" s="88" t="s">
        <v>168</v>
      </c>
      <c r="D141" s="88"/>
      <c r="E141" s="58"/>
      <c r="F141" s="58"/>
      <c r="G141" s="58"/>
      <c r="H141" s="58"/>
      <c r="I141" s="58"/>
      <c r="J141" s="58"/>
      <c r="K141" s="58"/>
      <c r="L141" s="58">
        <v>1</v>
      </c>
      <c r="M141" s="58"/>
      <c r="N141" s="58"/>
      <c r="O141" s="58"/>
      <c r="P141" s="58"/>
      <c r="Q141" s="58"/>
      <c r="R141" s="58"/>
      <c r="S141" s="58"/>
    </row>
    <row r="142" spans="1:19" ht="15" x14ac:dyDescent="0.25">
      <c r="A142" s="85">
        <v>40300</v>
      </c>
      <c r="B142" s="86" t="s">
        <v>139</v>
      </c>
      <c r="C142" s="88" t="s">
        <v>170</v>
      </c>
      <c r="D142" s="88"/>
      <c r="E142" s="58"/>
      <c r="F142" s="58"/>
      <c r="G142" s="58"/>
      <c r="H142" s="58"/>
      <c r="I142" s="58"/>
      <c r="J142" s="58"/>
      <c r="K142" s="58"/>
      <c r="L142" s="58">
        <v>1</v>
      </c>
      <c r="M142" s="58"/>
      <c r="N142" s="58"/>
      <c r="O142" s="58"/>
      <c r="P142" s="58"/>
      <c r="Q142" s="58"/>
      <c r="R142" s="58"/>
      <c r="S142" s="58"/>
    </row>
    <row r="143" spans="1:19" ht="15" x14ac:dyDescent="0.25">
      <c r="A143" s="85">
        <v>40307</v>
      </c>
      <c r="B143" s="86" t="s">
        <v>139</v>
      </c>
      <c r="C143" s="88" t="s">
        <v>172</v>
      </c>
      <c r="D143" s="88"/>
      <c r="E143" s="58"/>
      <c r="F143" s="58"/>
      <c r="G143" s="58"/>
      <c r="H143" s="58"/>
      <c r="I143" s="58"/>
      <c r="J143" s="58"/>
      <c r="K143" s="58"/>
      <c r="L143" s="58">
        <v>1</v>
      </c>
      <c r="M143" s="58"/>
      <c r="N143" s="58"/>
      <c r="O143" s="58"/>
      <c r="P143" s="58"/>
      <c r="Q143" s="58"/>
      <c r="R143" s="58"/>
      <c r="S143" s="58"/>
    </row>
    <row r="144" spans="1:19" ht="15" x14ac:dyDescent="0.25">
      <c r="A144" s="85">
        <v>40308</v>
      </c>
      <c r="B144" s="86" t="s">
        <v>139</v>
      </c>
      <c r="C144" s="88" t="s">
        <v>161</v>
      </c>
      <c r="D144" s="88"/>
      <c r="E144" s="58"/>
      <c r="F144" s="58"/>
      <c r="G144" s="58"/>
      <c r="H144" s="58"/>
      <c r="I144" s="58"/>
      <c r="J144" s="58"/>
      <c r="K144" s="58"/>
      <c r="L144" s="58">
        <v>1</v>
      </c>
      <c r="M144" s="58"/>
      <c r="N144" s="58"/>
      <c r="O144" s="58"/>
      <c r="P144" s="58"/>
      <c r="Q144" s="58"/>
      <c r="R144" s="58"/>
      <c r="S144" s="58"/>
    </row>
    <row r="145" spans="1:19" ht="15" x14ac:dyDescent="0.25">
      <c r="A145" s="85">
        <v>40315</v>
      </c>
      <c r="B145" s="86" t="s">
        <v>139</v>
      </c>
      <c r="C145" s="88" t="s">
        <v>161</v>
      </c>
      <c r="D145" s="88"/>
      <c r="E145" s="58"/>
      <c r="F145" s="58"/>
      <c r="G145" s="58"/>
      <c r="H145" s="58"/>
      <c r="I145" s="58"/>
      <c r="J145" s="58"/>
      <c r="K145" s="58"/>
      <c r="L145" s="58">
        <v>1</v>
      </c>
      <c r="M145" s="58"/>
      <c r="N145" s="58"/>
      <c r="O145" s="58"/>
      <c r="P145" s="58"/>
      <c r="Q145" s="58"/>
      <c r="R145" s="58"/>
      <c r="S145" s="58"/>
    </row>
    <row r="146" spans="1:19" ht="15" x14ac:dyDescent="0.25">
      <c r="A146" s="85">
        <v>40316</v>
      </c>
      <c r="B146" s="86" t="s">
        <v>139</v>
      </c>
      <c r="C146" s="88" t="s">
        <v>161</v>
      </c>
      <c r="D146" s="88"/>
      <c r="E146" s="58"/>
      <c r="F146" s="58"/>
      <c r="G146" s="58"/>
      <c r="H146" s="58"/>
      <c r="I146" s="58"/>
      <c r="J146" s="58"/>
      <c r="K146" s="58"/>
      <c r="L146" s="58">
        <v>1</v>
      </c>
      <c r="M146" s="58"/>
      <c r="N146" s="58"/>
      <c r="O146" s="58"/>
      <c r="P146" s="58"/>
      <c r="Q146" s="58"/>
      <c r="R146" s="58"/>
      <c r="S146" s="58"/>
    </row>
    <row r="147" spans="1:19" ht="15" x14ac:dyDescent="0.25">
      <c r="A147" s="85">
        <v>40321</v>
      </c>
      <c r="B147" s="86" t="s">
        <v>139</v>
      </c>
      <c r="C147" s="88" t="s">
        <v>161</v>
      </c>
      <c r="D147" s="88"/>
      <c r="E147" s="58"/>
      <c r="F147" s="58"/>
      <c r="G147" s="58"/>
      <c r="H147" s="58"/>
      <c r="I147" s="58"/>
      <c r="J147" s="58"/>
      <c r="K147" s="58"/>
      <c r="L147" s="58">
        <v>1</v>
      </c>
      <c r="M147" s="58"/>
      <c r="N147" s="58"/>
      <c r="O147" s="58"/>
      <c r="P147" s="58"/>
      <c r="Q147" s="58"/>
      <c r="R147" s="58"/>
      <c r="S147" s="58"/>
    </row>
    <row r="148" spans="1:19" ht="15" x14ac:dyDescent="0.25">
      <c r="A148" s="89">
        <v>40321</v>
      </c>
      <c r="B148" s="86" t="s">
        <v>139</v>
      </c>
      <c r="C148" s="90" t="s">
        <v>174</v>
      </c>
      <c r="D148" s="90"/>
      <c r="E148" s="58"/>
      <c r="F148" s="58"/>
      <c r="G148" s="58"/>
      <c r="H148" s="58"/>
      <c r="I148" s="58"/>
      <c r="J148" s="58"/>
      <c r="K148" s="58"/>
      <c r="L148" s="58">
        <v>1</v>
      </c>
      <c r="M148" s="58"/>
      <c r="N148" s="58"/>
      <c r="O148" s="58"/>
      <c r="P148" s="58"/>
      <c r="Q148" s="58"/>
      <c r="R148" s="58"/>
      <c r="S148" s="58"/>
    </row>
    <row r="149" spans="1:19" ht="15" x14ac:dyDescent="0.25">
      <c r="A149" s="85">
        <v>40322</v>
      </c>
      <c r="B149" s="86" t="s">
        <v>139</v>
      </c>
      <c r="C149" s="88" t="s">
        <v>176</v>
      </c>
      <c r="D149" s="88"/>
      <c r="E149" s="58"/>
      <c r="F149" s="58"/>
      <c r="G149" s="58"/>
      <c r="H149" s="58"/>
      <c r="I149" s="58"/>
      <c r="J149" s="58"/>
      <c r="K149" s="58"/>
      <c r="L149" s="58">
        <v>1</v>
      </c>
      <c r="M149" s="58"/>
      <c r="N149" s="58"/>
      <c r="O149" s="58"/>
      <c r="P149" s="58"/>
      <c r="Q149" s="58"/>
      <c r="R149" s="58"/>
      <c r="S149" s="58"/>
    </row>
    <row r="150" spans="1:19" ht="15" x14ac:dyDescent="0.25">
      <c r="A150" s="89">
        <v>40332</v>
      </c>
      <c r="B150" s="86" t="s">
        <v>139</v>
      </c>
      <c r="C150" s="90" t="s">
        <v>178</v>
      </c>
      <c r="D150" s="90"/>
      <c r="E150" s="58"/>
      <c r="F150" s="58"/>
      <c r="G150" s="58"/>
      <c r="H150" s="58"/>
      <c r="I150" s="58"/>
      <c r="J150" s="58"/>
      <c r="K150" s="58"/>
      <c r="L150" s="58">
        <v>1</v>
      </c>
      <c r="M150" s="58"/>
      <c r="N150" s="58"/>
      <c r="O150" s="58"/>
      <c r="P150" s="58"/>
      <c r="Q150" s="58"/>
      <c r="R150" s="58"/>
      <c r="S150" s="58"/>
    </row>
    <row r="151" spans="1:19" ht="15" x14ac:dyDescent="0.25">
      <c r="A151" s="89">
        <v>40334</v>
      </c>
      <c r="B151" s="86" t="s">
        <v>139</v>
      </c>
      <c r="C151" s="90" t="s">
        <v>180</v>
      </c>
      <c r="D151" s="90"/>
      <c r="E151" s="58"/>
      <c r="F151" s="58"/>
      <c r="G151" s="58"/>
      <c r="H151" s="58"/>
      <c r="I151" s="58"/>
      <c r="J151" s="58"/>
      <c r="K151" s="58"/>
      <c r="L151" s="58">
        <v>1</v>
      </c>
      <c r="M151" s="58"/>
      <c r="N151" s="58"/>
      <c r="O151" s="58"/>
      <c r="P151" s="58"/>
      <c r="Q151" s="58"/>
      <c r="R151" s="58"/>
      <c r="S151" s="58"/>
    </row>
    <row r="152" spans="1:19" ht="15" x14ac:dyDescent="0.25">
      <c r="A152" s="85">
        <v>40335</v>
      </c>
      <c r="B152" s="86" t="s">
        <v>139</v>
      </c>
      <c r="C152" s="88" t="s">
        <v>181</v>
      </c>
      <c r="D152" s="88"/>
      <c r="E152" s="58"/>
      <c r="F152" s="58"/>
      <c r="G152" s="58"/>
      <c r="H152" s="58"/>
      <c r="I152" s="58"/>
      <c r="J152" s="58"/>
      <c r="K152" s="58"/>
      <c r="L152" s="58">
        <v>1</v>
      </c>
      <c r="M152" s="58"/>
      <c r="N152" s="58"/>
      <c r="O152" s="58"/>
      <c r="P152" s="58"/>
      <c r="Q152" s="58"/>
      <c r="R152" s="58"/>
      <c r="S152" s="58"/>
    </row>
    <row r="153" spans="1:19" ht="15" x14ac:dyDescent="0.25">
      <c r="A153" s="85">
        <v>40348</v>
      </c>
      <c r="B153" s="86" t="s">
        <v>139</v>
      </c>
      <c r="C153" s="88" t="s">
        <v>183</v>
      </c>
      <c r="D153" s="88"/>
      <c r="E153" s="58"/>
      <c r="F153" s="58"/>
      <c r="G153" s="58"/>
      <c r="H153" s="58"/>
      <c r="I153" s="58"/>
      <c r="J153" s="58"/>
      <c r="K153" s="58"/>
      <c r="L153" s="58">
        <v>1</v>
      </c>
      <c r="M153" s="58"/>
      <c r="N153" s="58"/>
      <c r="O153" s="58"/>
      <c r="P153" s="58"/>
      <c r="Q153" s="58"/>
      <c r="R153" s="58"/>
      <c r="S153" s="58"/>
    </row>
    <row r="154" spans="1:19" ht="15" x14ac:dyDescent="0.25">
      <c r="A154" s="85">
        <v>40349</v>
      </c>
      <c r="B154" s="86" t="s">
        <v>139</v>
      </c>
      <c r="C154" s="88" t="s">
        <v>185</v>
      </c>
      <c r="D154" s="88"/>
      <c r="E154" s="58"/>
      <c r="F154" s="58"/>
      <c r="G154" s="58"/>
      <c r="H154" s="58"/>
      <c r="I154" s="58"/>
      <c r="J154" s="58"/>
      <c r="K154" s="58"/>
      <c r="L154" s="58">
        <v>1</v>
      </c>
      <c r="M154" s="58"/>
      <c r="N154" s="58"/>
      <c r="O154" s="58"/>
      <c r="P154" s="58"/>
      <c r="Q154" s="58"/>
      <c r="R154" s="58"/>
      <c r="S154" s="58"/>
    </row>
    <row r="155" spans="1:19" ht="15" x14ac:dyDescent="0.25">
      <c r="A155" s="85">
        <v>40352</v>
      </c>
      <c r="B155" s="86" t="s">
        <v>139</v>
      </c>
      <c r="C155" s="88" t="s">
        <v>186</v>
      </c>
      <c r="D155" s="88"/>
      <c r="E155" s="58"/>
      <c r="F155" s="58"/>
      <c r="G155" s="58"/>
      <c r="H155" s="58"/>
      <c r="I155" s="58"/>
      <c r="J155" s="58"/>
      <c r="K155" s="58"/>
      <c r="L155" s="58">
        <v>1</v>
      </c>
      <c r="M155" s="58"/>
      <c r="N155" s="58"/>
      <c r="O155" s="58"/>
      <c r="P155" s="58"/>
      <c r="Q155" s="58"/>
      <c r="R155" s="58"/>
      <c r="S155" s="58"/>
    </row>
    <row r="156" spans="1:19" ht="15" x14ac:dyDescent="0.25">
      <c r="A156" s="85">
        <v>40353</v>
      </c>
      <c r="B156" s="86" t="s">
        <v>139</v>
      </c>
      <c r="C156" s="88" t="s">
        <v>187</v>
      </c>
      <c r="D156" s="88"/>
      <c r="E156" s="58"/>
      <c r="F156" s="58"/>
      <c r="G156" s="58"/>
      <c r="H156" s="58"/>
      <c r="I156" s="58"/>
      <c r="J156" s="58"/>
      <c r="K156" s="58"/>
      <c r="L156" s="58">
        <v>1</v>
      </c>
      <c r="M156" s="58"/>
      <c r="N156" s="58"/>
      <c r="O156" s="58"/>
      <c r="P156" s="58"/>
      <c r="Q156" s="58"/>
      <c r="R156" s="58"/>
      <c r="S156" s="58"/>
    </row>
    <row r="157" spans="1:19" ht="15" x14ac:dyDescent="0.25">
      <c r="A157" s="85">
        <v>40363</v>
      </c>
      <c r="B157" s="86" t="s">
        <v>139</v>
      </c>
      <c r="C157" s="88" t="s">
        <v>188</v>
      </c>
      <c r="D157" s="88"/>
      <c r="E157" s="58"/>
      <c r="F157" s="58"/>
      <c r="G157" s="58"/>
      <c r="H157" s="58"/>
      <c r="I157" s="58"/>
      <c r="J157" s="58"/>
      <c r="K157" s="58"/>
      <c r="L157" s="58">
        <v>1</v>
      </c>
      <c r="M157" s="58"/>
      <c r="N157" s="58"/>
      <c r="O157" s="58"/>
      <c r="P157" s="58"/>
      <c r="Q157" s="58"/>
      <c r="R157" s="58"/>
      <c r="S157" s="58"/>
    </row>
    <row r="158" spans="1:19" ht="15" x14ac:dyDescent="0.25">
      <c r="A158" s="85">
        <v>40384</v>
      </c>
      <c r="B158" s="86" t="s">
        <v>139</v>
      </c>
      <c r="C158" s="88" t="s">
        <v>188</v>
      </c>
      <c r="D158" s="88"/>
      <c r="E158" s="58"/>
      <c r="F158" s="58"/>
      <c r="G158" s="58"/>
      <c r="H158" s="58"/>
      <c r="I158" s="58"/>
      <c r="J158" s="58"/>
      <c r="K158" s="58"/>
      <c r="L158" s="58">
        <v>1</v>
      </c>
      <c r="M158" s="58"/>
      <c r="N158" s="58"/>
      <c r="O158" s="58"/>
      <c r="P158" s="58"/>
      <c r="Q158" s="58"/>
      <c r="R158" s="58"/>
      <c r="S158" s="58"/>
    </row>
    <row r="159" spans="1:19" ht="15" x14ac:dyDescent="0.25">
      <c r="A159" s="89">
        <v>40390</v>
      </c>
      <c r="B159" s="91"/>
      <c r="C159" s="90" t="s">
        <v>193</v>
      </c>
      <c r="D159" s="90"/>
      <c r="E159" s="58"/>
      <c r="F159" s="58"/>
      <c r="G159" s="58"/>
      <c r="H159" s="58"/>
      <c r="I159" s="58"/>
      <c r="J159" s="58"/>
      <c r="K159" s="58"/>
      <c r="L159" s="58">
        <v>1</v>
      </c>
      <c r="M159" s="58"/>
      <c r="N159" s="58"/>
      <c r="O159" s="58"/>
      <c r="P159" s="58"/>
      <c r="Q159" s="58"/>
      <c r="R159" s="58"/>
      <c r="S159" s="58"/>
    </row>
    <row r="160" spans="1:19" ht="15" x14ac:dyDescent="0.25">
      <c r="A160" s="89">
        <v>40394</v>
      </c>
      <c r="B160" s="86" t="s">
        <v>139</v>
      </c>
      <c r="C160" s="90" t="s">
        <v>191</v>
      </c>
      <c r="D160" s="90"/>
      <c r="E160" s="58"/>
      <c r="F160" s="58"/>
      <c r="G160" s="58"/>
      <c r="H160" s="58"/>
      <c r="I160" s="58"/>
      <c r="J160" s="58"/>
      <c r="K160" s="58"/>
      <c r="L160" s="58">
        <v>1</v>
      </c>
      <c r="M160" s="58"/>
      <c r="N160" s="58"/>
      <c r="O160" s="58"/>
      <c r="P160" s="58"/>
      <c r="Q160" s="58"/>
      <c r="R160" s="58"/>
      <c r="S160" s="58"/>
    </row>
    <row r="161" spans="1:19" ht="15" x14ac:dyDescent="0.25">
      <c r="A161" s="85">
        <v>40400</v>
      </c>
      <c r="B161" s="86" t="s">
        <v>139</v>
      </c>
      <c r="C161" s="88" t="s">
        <v>195</v>
      </c>
      <c r="D161" s="88"/>
      <c r="E161" s="58"/>
      <c r="F161" s="58"/>
      <c r="G161" s="58"/>
      <c r="H161" s="58"/>
      <c r="I161" s="58"/>
      <c r="J161" s="58"/>
      <c r="K161" s="58"/>
      <c r="L161" s="58">
        <v>1</v>
      </c>
      <c r="M161" s="58"/>
      <c r="N161" s="58"/>
      <c r="O161" s="58"/>
      <c r="P161" s="58"/>
      <c r="Q161" s="58"/>
      <c r="R161" s="58"/>
      <c r="S161" s="58"/>
    </row>
    <row r="162" spans="1:19" ht="15" x14ac:dyDescent="0.25">
      <c r="A162" s="85">
        <v>40404</v>
      </c>
      <c r="B162" s="86" t="s">
        <v>139</v>
      </c>
      <c r="C162" s="88" t="s">
        <v>188</v>
      </c>
      <c r="D162" s="88"/>
      <c r="E162" s="58"/>
      <c r="F162" s="58"/>
      <c r="G162" s="58"/>
      <c r="H162" s="58"/>
      <c r="I162" s="58"/>
      <c r="J162" s="58"/>
      <c r="K162" s="58"/>
      <c r="L162" s="58">
        <v>1</v>
      </c>
      <c r="M162" s="58"/>
      <c r="N162" s="58"/>
      <c r="O162" s="58"/>
      <c r="P162" s="58"/>
      <c r="Q162" s="58"/>
      <c r="R162" s="58"/>
      <c r="S162" s="58"/>
    </row>
    <row r="163" spans="1:19" ht="15" x14ac:dyDescent="0.25">
      <c r="A163" s="85">
        <v>40419</v>
      </c>
      <c r="B163" s="86" t="s">
        <v>139</v>
      </c>
      <c r="C163" s="88" t="s">
        <v>188</v>
      </c>
      <c r="D163" s="88"/>
      <c r="E163" s="58"/>
      <c r="F163" s="58"/>
      <c r="G163" s="58"/>
      <c r="H163" s="58"/>
      <c r="I163" s="58"/>
      <c r="J163" s="58"/>
      <c r="K163" s="58"/>
      <c r="L163" s="58">
        <v>1</v>
      </c>
      <c r="M163" s="58"/>
      <c r="N163" s="58"/>
      <c r="O163" s="58"/>
      <c r="P163" s="58"/>
      <c r="Q163" s="58"/>
      <c r="R163" s="58"/>
      <c r="S163" s="58"/>
    </row>
    <row r="164" spans="1:19" ht="15" x14ac:dyDescent="0.25">
      <c r="A164" s="85">
        <v>40425</v>
      </c>
      <c r="B164" s="86" t="s">
        <v>139</v>
      </c>
      <c r="C164" s="88" t="s">
        <v>188</v>
      </c>
      <c r="D164" s="88"/>
      <c r="E164" s="58"/>
      <c r="F164" s="58"/>
      <c r="G164" s="58"/>
      <c r="H164" s="58"/>
      <c r="I164" s="58"/>
      <c r="J164" s="58"/>
      <c r="K164" s="58"/>
      <c r="L164" s="58">
        <v>1</v>
      </c>
      <c r="M164" s="58"/>
      <c r="N164" s="58"/>
      <c r="O164" s="58"/>
      <c r="P164" s="58"/>
      <c r="Q164" s="58"/>
      <c r="R164" s="58"/>
      <c r="S164" s="58"/>
    </row>
    <row r="165" spans="1:19" ht="15" x14ac:dyDescent="0.25">
      <c r="A165" s="89">
        <v>40431</v>
      </c>
      <c r="B165" s="91"/>
      <c r="C165" s="90" t="s">
        <v>198</v>
      </c>
      <c r="D165" s="90"/>
      <c r="E165" s="58"/>
      <c r="F165" s="58"/>
      <c r="G165" s="58"/>
      <c r="H165" s="58"/>
      <c r="I165" s="58"/>
      <c r="J165" s="58"/>
      <c r="K165" s="58"/>
      <c r="L165" s="58">
        <v>1</v>
      </c>
      <c r="M165" s="58"/>
      <c r="N165" s="58"/>
      <c r="O165" s="58"/>
      <c r="P165" s="58"/>
      <c r="Q165" s="58"/>
      <c r="R165" s="58"/>
      <c r="S165" s="58"/>
    </row>
    <row r="166" spans="1:19" ht="15" x14ac:dyDescent="0.25">
      <c r="A166" s="89">
        <v>40431</v>
      </c>
      <c r="B166" s="91"/>
      <c r="C166" s="90" t="s">
        <v>201</v>
      </c>
      <c r="D166" s="90"/>
      <c r="E166" s="58"/>
      <c r="F166" s="58"/>
      <c r="G166" s="58"/>
      <c r="H166" s="58"/>
      <c r="I166" s="58"/>
      <c r="J166" s="58"/>
      <c r="K166" s="58"/>
      <c r="L166" s="58">
        <v>1</v>
      </c>
      <c r="M166" s="58"/>
      <c r="N166" s="58"/>
      <c r="O166" s="58"/>
      <c r="P166" s="58"/>
      <c r="Q166" s="58"/>
      <c r="R166" s="58"/>
      <c r="S166" s="58"/>
    </row>
    <row r="167" spans="1:19" ht="15" x14ac:dyDescent="0.25">
      <c r="A167" s="89">
        <v>40448</v>
      </c>
      <c r="B167" s="91"/>
      <c r="C167" s="90" t="s">
        <v>202</v>
      </c>
      <c r="D167" s="90"/>
      <c r="E167" s="58"/>
      <c r="F167" s="58"/>
      <c r="G167" s="58"/>
      <c r="H167" s="58"/>
      <c r="I167" s="58"/>
      <c r="J167" s="58"/>
      <c r="K167" s="58"/>
      <c r="L167" s="58">
        <v>1</v>
      </c>
      <c r="M167" s="58"/>
      <c r="N167" s="58"/>
      <c r="O167" s="58"/>
      <c r="P167" s="58"/>
      <c r="Q167" s="58"/>
      <c r="R167" s="58"/>
      <c r="S167" s="58"/>
    </row>
    <row r="168" spans="1:19" ht="15" x14ac:dyDescent="0.25">
      <c r="A168" s="89">
        <v>40467</v>
      </c>
      <c r="B168" s="86" t="s">
        <v>139</v>
      </c>
      <c r="C168" s="90" t="s">
        <v>205</v>
      </c>
      <c r="D168" s="90"/>
      <c r="E168" s="58"/>
      <c r="F168" s="58"/>
      <c r="G168" s="58"/>
      <c r="H168" s="58"/>
      <c r="I168" s="58"/>
      <c r="J168" s="58"/>
      <c r="K168" s="58"/>
      <c r="L168" s="58">
        <v>1</v>
      </c>
      <c r="M168" s="58"/>
      <c r="N168" s="58"/>
      <c r="O168" s="58"/>
      <c r="P168" s="58"/>
      <c r="Q168" s="58"/>
      <c r="R168" s="58"/>
      <c r="S168" s="58"/>
    </row>
    <row r="169" spans="1:19" ht="15" x14ac:dyDescent="0.25">
      <c r="A169" s="89">
        <v>40471</v>
      </c>
      <c r="B169" s="91"/>
      <c r="C169" s="90" t="s">
        <v>207</v>
      </c>
      <c r="D169" s="90"/>
      <c r="E169" s="58"/>
      <c r="F169" s="58"/>
      <c r="G169" s="58"/>
      <c r="H169" s="58"/>
      <c r="I169" s="58"/>
      <c r="J169" s="58"/>
      <c r="K169" s="58"/>
      <c r="L169" s="58">
        <v>1</v>
      </c>
      <c r="M169" s="58"/>
      <c r="N169" s="58"/>
      <c r="O169" s="58"/>
      <c r="P169" s="58"/>
      <c r="Q169" s="58"/>
      <c r="R169" s="58"/>
      <c r="S169" s="58"/>
    </row>
    <row r="170" spans="1:19" ht="15" x14ac:dyDescent="0.25">
      <c r="A170" s="89">
        <v>40472</v>
      </c>
      <c r="B170" s="91"/>
      <c r="C170" s="90" t="s">
        <v>208</v>
      </c>
      <c r="D170" s="90"/>
      <c r="E170" s="58"/>
      <c r="F170" s="58"/>
      <c r="G170" s="58"/>
      <c r="H170" s="58"/>
      <c r="I170" s="58"/>
      <c r="J170" s="58"/>
      <c r="K170" s="58"/>
      <c r="L170" s="58">
        <v>1</v>
      </c>
      <c r="M170" s="58"/>
      <c r="N170" s="58"/>
      <c r="O170" s="58"/>
      <c r="P170" s="58"/>
      <c r="Q170" s="58"/>
      <c r="R170" s="58"/>
      <c r="S170" s="58"/>
    </row>
    <row r="171" spans="1:19" ht="15" x14ac:dyDescent="0.25">
      <c r="A171" s="85">
        <v>40474</v>
      </c>
      <c r="B171" s="86" t="s">
        <v>139</v>
      </c>
      <c r="C171" s="88" t="s">
        <v>210</v>
      </c>
      <c r="D171" s="88"/>
      <c r="E171" s="58"/>
      <c r="F171" s="58"/>
      <c r="G171" s="58"/>
      <c r="H171" s="58"/>
      <c r="I171" s="58"/>
      <c r="J171" s="58"/>
      <c r="K171" s="58"/>
      <c r="L171" s="58">
        <v>1</v>
      </c>
      <c r="M171" s="58"/>
      <c r="N171" s="58"/>
      <c r="O171" s="58"/>
      <c r="P171" s="58"/>
      <c r="Q171" s="58"/>
      <c r="R171" s="58"/>
      <c r="S171" s="58"/>
    </row>
    <row r="172" spans="1:19" ht="15" x14ac:dyDescent="0.25">
      <c r="A172" s="85">
        <v>40481</v>
      </c>
      <c r="B172" s="86" t="s">
        <v>139</v>
      </c>
      <c r="C172" s="88" t="s">
        <v>210</v>
      </c>
      <c r="D172" s="88"/>
      <c r="E172" s="58"/>
      <c r="F172" s="58"/>
      <c r="G172" s="58"/>
      <c r="H172" s="58"/>
      <c r="I172" s="58"/>
      <c r="J172" s="58"/>
      <c r="K172" s="58"/>
      <c r="L172" s="58">
        <v>1</v>
      </c>
      <c r="M172" s="58"/>
      <c r="N172" s="58"/>
      <c r="O172" s="58"/>
      <c r="P172" s="58"/>
      <c r="Q172" s="58"/>
      <c r="R172" s="58"/>
      <c r="S172" s="58"/>
    </row>
    <row r="173" spans="1:19" ht="15" x14ac:dyDescent="0.25">
      <c r="A173" s="85">
        <v>40483</v>
      </c>
      <c r="B173" s="86" t="s">
        <v>139</v>
      </c>
      <c r="C173" s="88" t="s">
        <v>210</v>
      </c>
      <c r="D173" s="88"/>
      <c r="E173" s="58"/>
      <c r="F173" s="58"/>
      <c r="G173" s="58"/>
      <c r="H173" s="58"/>
      <c r="I173" s="58"/>
      <c r="J173" s="58"/>
      <c r="K173" s="58"/>
      <c r="L173" s="58">
        <v>1</v>
      </c>
      <c r="M173" s="58"/>
      <c r="N173" s="58"/>
      <c r="O173" s="58"/>
      <c r="P173" s="58"/>
      <c r="Q173" s="58"/>
      <c r="R173" s="58"/>
      <c r="S173" s="58"/>
    </row>
    <row r="174" spans="1:19" ht="15" x14ac:dyDescent="0.25">
      <c r="A174" s="85">
        <v>40484</v>
      </c>
      <c r="B174" s="86" t="s">
        <v>139</v>
      </c>
      <c r="C174" s="88" t="s">
        <v>210</v>
      </c>
      <c r="D174" s="88"/>
      <c r="E174" s="58"/>
      <c r="F174" s="58"/>
      <c r="G174" s="58"/>
      <c r="H174" s="58"/>
      <c r="I174" s="58"/>
      <c r="J174" s="58"/>
      <c r="K174" s="58"/>
      <c r="L174" s="58">
        <v>1</v>
      </c>
      <c r="M174" s="58"/>
      <c r="N174" s="58"/>
      <c r="O174" s="58"/>
      <c r="P174" s="58"/>
      <c r="Q174" s="58"/>
      <c r="R174" s="58"/>
      <c r="S174" s="58"/>
    </row>
    <row r="175" spans="1:19" ht="15" x14ac:dyDescent="0.25">
      <c r="A175" s="85">
        <v>40496</v>
      </c>
      <c r="B175" s="86" t="s">
        <v>139</v>
      </c>
      <c r="C175" s="88" t="s">
        <v>212</v>
      </c>
      <c r="D175" s="88"/>
      <c r="E175" s="58"/>
      <c r="F175" s="58"/>
      <c r="G175" s="58"/>
      <c r="H175" s="58"/>
      <c r="I175" s="58"/>
      <c r="J175" s="58"/>
      <c r="K175" s="58"/>
      <c r="L175" s="58">
        <v>1</v>
      </c>
      <c r="M175" s="58"/>
      <c r="N175" s="58"/>
      <c r="O175" s="58"/>
      <c r="P175" s="58"/>
      <c r="Q175" s="58"/>
      <c r="R175" s="58"/>
      <c r="S175" s="58"/>
    </row>
    <row r="176" spans="1:19" ht="15" x14ac:dyDescent="0.25">
      <c r="A176" s="85">
        <v>40512</v>
      </c>
      <c r="B176" s="91"/>
      <c r="C176" s="88" t="s">
        <v>214</v>
      </c>
      <c r="D176" s="88"/>
      <c r="E176" s="58"/>
      <c r="F176" s="58"/>
      <c r="G176" s="58"/>
      <c r="H176" s="58"/>
      <c r="I176" s="58"/>
      <c r="J176" s="58"/>
      <c r="K176" s="58"/>
      <c r="L176" s="58">
        <v>1</v>
      </c>
      <c r="M176" s="58"/>
      <c r="N176" s="58"/>
      <c r="O176" s="58"/>
      <c r="P176" s="58"/>
      <c r="Q176" s="58"/>
      <c r="R176" s="58"/>
      <c r="S176" s="58"/>
    </row>
    <row r="177" spans="1:19" ht="15" x14ac:dyDescent="0.25">
      <c r="A177" s="92"/>
      <c r="B177" s="68"/>
      <c r="C177" s="68"/>
      <c r="D177" s="6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</row>
    <row r="178" spans="1:19" ht="15" x14ac:dyDescent="0.25">
      <c r="A178" s="93">
        <v>40587</v>
      </c>
      <c r="B178" s="94" t="s">
        <v>139</v>
      </c>
      <c r="C178" s="95" t="s">
        <v>132</v>
      </c>
      <c r="D178" s="95"/>
      <c r="E178" s="58"/>
      <c r="F178" s="58"/>
      <c r="G178" s="58"/>
      <c r="H178" s="58"/>
      <c r="I178" s="58"/>
      <c r="J178" s="58"/>
      <c r="K178" s="58"/>
      <c r="L178" s="58"/>
      <c r="M178" s="58">
        <v>1</v>
      </c>
      <c r="N178" s="58"/>
      <c r="O178" s="58"/>
      <c r="P178" s="58"/>
      <c r="Q178" s="58"/>
      <c r="R178" s="58"/>
      <c r="S178" s="58"/>
    </row>
    <row r="179" spans="1:19" ht="15" x14ac:dyDescent="0.25">
      <c r="A179" s="93">
        <v>40621</v>
      </c>
      <c r="B179" s="96" t="s">
        <v>139</v>
      </c>
      <c r="C179" s="95" t="s">
        <v>216</v>
      </c>
      <c r="D179" s="95"/>
      <c r="E179" s="58"/>
      <c r="F179" s="58"/>
      <c r="G179" s="58"/>
      <c r="H179" s="58"/>
      <c r="I179" s="58"/>
      <c r="J179" s="58"/>
      <c r="K179" s="58"/>
      <c r="L179" s="58"/>
      <c r="M179" s="58">
        <v>1</v>
      </c>
      <c r="N179" s="58"/>
      <c r="O179" s="58"/>
      <c r="P179" s="58"/>
      <c r="Q179" s="58"/>
      <c r="R179" s="58"/>
      <c r="S179" s="58"/>
    </row>
    <row r="180" spans="1:19" ht="15" x14ac:dyDescent="0.25">
      <c r="A180" s="93">
        <v>40622</v>
      </c>
      <c r="B180" s="96" t="s">
        <v>139</v>
      </c>
      <c r="C180" s="95" t="s">
        <v>216</v>
      </c>
      <c r="D180" s="95"/>
      <c r="E180" s="58"/>
      <c r="F180" s="58"/>
      <c r="G180" s="58"/>
      <c r="H180" s="58"/>
      <c r="I180" s="58"/>
      <c r="J180" s="58"/>
      <c r="K180" s="58"/>
      <c r="L180" s="58"/>
      <c r="M180" s="58">
        <v>1</v>
      </c>
      <c r="N180" s="58"/>
      <c r="O180" s="58"/>
      <c r="P180" s="58"/>
      <c r="Q180" s="58"/>
      <c r="R180" s="58"/>
      <c r="S180" s="58"/>
    </row>
    <row r="181" spans="1:19" ht="15" x14ac:dyDescent="0.25">
      <c r="A181" s="97">
        <v>40641</v>
      </c>
      <c r="B181" s="98"/>
      <c r="C181" s="99" t="s">
        <v>219</v>
      </c>
      <c r="D181" s="99"/>
      <c r="E181" s="58"/>
      <c r="F181" s="58"/>
      <c r="G181" s="58"/>
      <c r="H181" s="58"/>
      <c r="I181" s="58"/>
      <c r="J181" s="58"/>
      <c r="K181" s="58"/>
      <c r="L181" s="58"/>
      <c r="M181" s="58">
        <v>1</v>
      </c>
      <c r="N181" s="58"/>
      <c r="O181" s="58"/>
      <c r="P181" s="58"/>
      <c r="Q181" s="58"/>
      <c r="R181" s="58"/>
      <c r="S181" s="58"/>
    </row>
    <row r="182" spans="1:19" ht="15" x14ac:dyDescent="0.25">
      <c r="A182" s="97">
        <v>40670</v>
      </c>
      <c r="B182" s="94" t="s">
        <v>139</v>
      </c>
      <c r="C182" s="99" t="s">
        <v>221</v>
      </c>
      <c r="D182" s="99"/>
      <c r="E182" s="58"/>
      <c r="F182" s="58"/>
      <c r="G182" s="58"/>
      <c r="H182" s="58"/>
      <c r="I182" s="58"/>
      <c r="J182" s="58"/>
      <c r="K182" s="58"/>
      <c r="L182" s="58"/>
      <c r="M182" s="58">
        <v>1</v>
      </c>
      <c r="N182" s="58"/>
      <c r="O182" s="58"/>
      <c r="P182" s="58"/>
      <c r="Q182" s="58"/>
      <c r="R182" s="58"/>
      <c r="S182" s="58"/>
    </row>
    <row r="183" spans="1:19" ht="15" x14ac:dyDescent="0.25">
      <c r="A183" s="97">
        <v>40671</v>
      </c>
      <c r="B183" s="94" t="s">
        <v>139</v>
      </c>
      <c r="C183" s="99" t="s">
        <v>223</v>
      </c>
      <c r="D183" s="99"/>
      <c r="E183" s="58"/>
      <c r="F183" s="58"/>
      <c r="G183" s="58"/>
      <c r="H183" s="58"/>
      <c r="I183" s="58"/>
      <c r="J183" s="58"/>
      <c r="K183" s="58"/>
      <c r="L183" s="58"/>
      <c r="M183" s="58">
        <v>1</v>
      </c>
      <c r="N183" s="58"/>
      <c r="O183" s="58"/>
      <c r="P183" s="58"/>
      <c r="Q183" s="58"/>
      <c r="R183" s="58"/>
      <c r="S183" s="58"/>
    </row>
    <row r="184" spans="1:19" ht="15" x14ac:dyDescent="0.25">
      <c r="A184" s="93">
        <v>40686</v>
      </c>
      <c r="B184" s="94" t="s">
        <v>227</v>
      </c>
      <c r="C184" s="95" t="s">
        <v>225</v>
      </c>
      <c r="D184" s="95"/>
      <c r="E184" s="58"/>
      <c r="F184" s="58"/>
      <c r="G184" s="58"/>
      <c r="H184" s="58"/>
      <c r="I184" s="58"/>
      <c r="J184" s="58"/>
      <c r="K184" s="58"/>
      <c r="L184" s="58"/>
      <c r="M184" s="58">
        <v>1</v>
      </c>
      <c r="N184" s="58"/>
      <c r="O184" s="58"/>
      <c r="P184" s="58"/>
      <c r="Q184" s="58"/>
      <c r="R184" s="58"/>
      <c r="S184" s="58"/>
    </row>
    <row r="185" spans="1:19" ht="15" x14ac:dyDescent="0.25">
      <c r="A185" s="93">
        <v>40687</v>
      </c>
      <c r="B185" s="94" t="s">
        <v>227</v>
      </c>
      <c r="C185" s="95" t="s">
        <v>176</v>
      </c>
      <c r="D185" s="95"/>
      <c r="E185" s="58"/>
      <c r="F185" s="58"/>
      <c r="G185" s="58"/>
      <c r="H185" s="58"/>
      <c r="I185" s="58"/>
      <c r="J185" s="58"/>
      <c r="K185" s="58"/>
      <c r="L185" s="58"/>
      <c r="M185" s="58">
        <v>1</v>
      </c>
      <c r="N185" s="58"/>
      <c r="O185" s="58"/>
      <c r="P185" s="58"/>
      <c r="Q185" s="58"/>
      <c r="R185" s="58"/>
      <c r="S185" s="58"/>
    </row>
    <row r="186" spans="1:19" ht="15" x14ac:dyDescent="0.25">
      <c r="A186" s="93">
        <v>40691</v>
      </c>
      <c r="B186" s="94" t="s">
        <v>227</v>
      </c>
      <c r="C186" s="95" t="s">
        <v>230</v>
      </c>
      <c r="D186" s="95"/>
      <c r="E186" s="58"/>
      <c r="F186" s="58"/>
      <c r="G186" s="58"/>
      <c r="H186" s="58"/>
      <c r="I186" s="58"/>
      <c r="J186" s="58"/>
      <c r="K186" s="58"/>
      <c r="L186" s="58"/>
      <c r="M186" s="58">
        <v>1</v>
      </c>
      <c r="N186" s="58"/>
      <c r="O186" s="58"/>
      <c r="P186" s="58"/>
      <c r="Q186" s="58"/>
      <c r="R186" s="58"/>
      <c r="S186" s="58"/>
    </row>
    <row r="187" spans="1:19" ht="15" x14ac:dyDescent="0.25">
      <c r="A187" s="97">
        <v>40700</v>
      </c>
      <c r="B187" s="94" t="s">
        <v>139</v>
      </c>
      <c r="C187" s="99" t="s">
        <v>231</v>
      </c>
      <c r="D187" s="99"/>
      <c r="E187" s="58"/>
      <c r="F187" s="58"/>
      <c r="G187" s="58"/>
      <c r="H187" s="58"/>
      <c r="I187" s="58"/>
      <c r="J187" s="58"/>
      <c r="K187" s="58"/>
      <c r="L187" s="58"/>
      <c r="M187" s="58">
        <v>1</v>
      </c>
      <c r="N187" s="58"/>
      <c r="O187" s="58"/>
      <c r="P187" s="58"/>
      <c r="Q187" s="58"/>
      <c r="R187" s="58"/>
      <c r="S187" s="58"/>
    </row>
    <row r="188" spans="1:19" ht="15" x14ac:dyDescent="0.25">
      <c r="A188" s="97">
        <v>40701</v>
      </c>
      <c r="B188" s="94" t="s">
        <v>139</v>
      </c>
      <c r="C188" s="99" t="s">
        <v>233</v>
      </c>
      <c r="D188" s="99"/>
      <c r="E188" s="58"/>
      <c r="F188" s="58"/>
      <c r="G188" s="58"/>
      <c r="H188" s="58"/>
      <c r="I188" s="58"/>
      <c r="J188" s="58"/>
      <c r="K188" s="58"/>
      <c r="L188" s="58"/>
      <c r="M188" s="58">
        <v>1</v>
      </c>
      <c r="N188" s="58"/>
      <c r="O188" s="58"/>
      <c r="P188" s="58"/>
      <c r="Q188" s="58"/>
      <c r="R188" s="58"/>
      <c r="S188" s="58"/>
    </row>
    <row r="189" spans="1:19" ht="15" x14ac:dyDescent="0.25">
      <c r="A189" s="97">
        <v>40703</v>
      </c>
      <c r="B189" s="94" t="s">
        <v>139</v>
      </c>
      <c r="C189" s="99" t="s">
        <v>235</v>
      </c>
      <c r="D189" s="99"/>
      <c r="E189" s="58"/>
      <c r="F189" s="58"/>
      <c r="G189" s="58"/>
      <c r="H189" s="58"/>
      <c r="I189" s="58"/>
      <c r="J189" s="58"/>
      <c r="K189" s="58"/>
      <c r="L189" s="58"/>
      <c r="M189" s="58">
        <v>1</v>
      </c>
      <c r="N189" s="58"/>
      <c r="O189" s="58"/>
      <c r="P189" s="58"/>
      <c r="Q189" s="58"/>
      <c r="R189" s="58"/>
      <c r="S189" s="58"/>
    </row>
    <row r="190" spans="1:19" ht="15" x14ac:dyDescent="0.25">
      <c r="A190" s="97">
        <v>40714</v>
      </c>
      <c r="B190" s="100"/>
      <c r="C190" s="99" t="s">
        <v>237</v>
      </c>
      <c r="D190" s="99"/>
      <c r="E190" s="58"/>
      <c r="F190" s="58"/>
      <c r="G190" s="58"/>
      <c r="H190" s="58"/>
      <c r="I190" s="58"/>
      <c r="J190" s="58"/>
      <c r="K190" s="58"/>
      <c r="L190" s="58"/>
      <c r="M190" s="58">
        <v>1</v>
      </c>
      <c r="N190" s="58"/>
      <c r="O190" s="58"/>
      <c r="P190" s="58"/>
      <c r="Q190" s="58"/>
      <c r="R190" s="58"/>
      <c r="S190" s="58"/>
    </row>
    <row r="191" spans="1:19" ht="15" x14ac:dyDescent="0.25">
      <c r="A191" s="97">
        <v>40714</v>
      </c>
      <c r="B191" s="94" t="s">
        <v>244</v>
      </c>
      <c r="C191" s="99" t="s">
        <v>185</v>
      </c>
      <c r="D191" s="99"/>
      <c r="E191" s="58"/>
      <c r="F191" s="58"/>
      <c r="G191" s="58"/>
      <c r="H191" s="58"/>
      <c r="I191" s="58"/>
      <c r="J191" s="58"/>
      <c r="K191" s="58"/>
      <c r="L191" s="58"/>
      <c r="M191" s="58">
        <v>1</v>
      </c>
      <c r="N191" s="58"/>
      <c r="O191" s="58"/>
      <c r="P191" s="58"/>
      <c r="Q191" s="58"/>
      <c r="R191" s="58"/>
      <c r="S191" s="58"/>
    </row>
    <row r="192" spans="1:19" ht="15" x14ac:dyDescent="0.25">
      <c r="A192" s="97">
        <v>40715</v>
      </c>
      <c r="B192" s="100"/>
      <c r="C192" s="99" t="s">
        <v>239</v>
      </c>
      <c r="D192" s="99"/>
      <c r="E192" s="58"/>
      <c r="F192" s="58"/>
      <c r="G192" s="58"/>
      <c r="H192" s="58"/>
      <c r="I192" s="58"/>
      <c r="J192" s="58"/>
      <c r="K192" s="58"/>
      <c r="L192" s="58"/>
      <c r="M192" s="58">
        <v>1</v>
      </c>
      <c r="N192" s="58"/>
      <c r="O192" s="58"/>
      <c r="P192" s="58"/>
      <c r="Q192" s="58"/>
      <c r="R192" s="58"/>
      <c r="S192" s="58"/>
    </row>
    <row r="193" spans="1:19" ht="15" x14ac:dyDescent="0.25">
      <c r="A193" s="97">
        <v>40716</v>
      </c>
      <c r="B193" s="100"/>
      <c r="C193" s="99" t="s">
        <v>242</v>
      </c>
      <c r="D193" s="99"/>
      <c r="E193" s="58"/>
      <c r="F193" s="58"/>
      <c r="G193" s="58"/>
      <c r="H193" s="58"/>
      <c r="I193" s="58"/>
      <c r="J193" s="58"/>
      <c r="K193" s="58"/>
      <c r="L193" s="58"/>
      <c r="M193" s="58">
        <v>1</v>
      </c>
      <c r="N193" s="58"/>
      <c r="O193" s="58"/>
      <c r="P193" s="58"/>
      <c r="Q193" s="58"/>
      <c r="R193" s="58"/>
      <c r="S193" s="58"/>
    </row>
    <row r="194" spans="1:19" ht="15" x14ac:dyDescent="0.25">
      <c r="A194" s="97">
        <v>40717</v>
      </c>
      <c r="B194" s="94" t="s">
        <v>244</v>
      </c>
      <c r="C194" s="99" t="s">
        <v>246</v>
      </c>
      <c r="D194" s="99"/>
      <c r="E194" s="58"/>
      <c r="F194" s="58"/>
      <c r="G194" s="58"/>
      <c r="H194" s="58"/>
      <c r="I194" s="58"/>
      <c r="J194" s="58"/>
      <c r="K194" s="58"/>
      <c r="L194" s="58"/>
      <c r="M194" s="58">
        <v>1</v>
      </c>
      <c r="N194" s="58"/>
      <c r="O194" s="58"/>
      <c r="P194" s="58"/>
      <c r="Q194" s="58"/>
      <c r="R194" s="58"/>
      <c r="S194" s="58"/>
    </row>
    <row r="195" spans="1:19" ht="15" x14ac:dyDescent="0.25">
      <c r="A195" s="101">
        <v>40718</v>
      </c>
      <c r="B195" s="94" t="s">
        <v>244</v>
      </c>
      <c r="C195" s="99" t="s">
        <v>247</v>
      </c>
      <c r="D195" s="99"/>
      <c r="E195" s="58"/>
      <c r="F195" s="58"/>
      <c r="G195" s="58"/>
      <c r="H195" s="58"/>
      <c r="I195" s="58"/>
      <c r="J195" s="58"/>
      <c r="K195" s="58"/>
      <c r="L195" s="58"/>
      <c r="M195" s="58">
        <v>1</v>
      </c>
      <c r="N195" s="58"/>
      <c r="O195" s="58"/>
      <c r="P195" s="58"/>
      <c r="Q195" s="58"/>
      <c r="R195" s="58"/>
      <c r="S195" s="58"/>
    </row>
    <row r="196" spans="1:19" ht="15" x14ac:dyDescent="0.25">
      <c r="A196" s="101">
        <v>40718</v>
      </c>
      <c r="B196" s="94" t="s">
        <v>244</v>
      </c>
      <c r="C196" s="99" t="s">
        <v>248</v>
      </c>
      <c r="D196" s="99"/>
      <c r="E196" s="58"/>
      <c r="F196" s="58"/>
      <c r="G196" s="58"/>
      <c r="H196" s="58"/>
      <c r="I196" s="58"/>
      <c r="J196" s="58"/>
      <c r="K196" s="58"/>
      <c r="L196" s="58"/>
      <c r="M196" s="58">
        <v>1</v>
      </c>
      <c r="N196" s="58"/>
      <c r="O196" s="58"/>
      <c r="P196" s="58"/>
      <c r="Q196" s="58"/>
      <c r="R196" s="58"/>
      <c r="S196" s="58"/>
    </row>
    <row r="197" spans="1:19" ht="15" customHeight="1" x14ac:dyDescent="0.25">
      <c r="A197" s="101">
        <v>40719</v>
      </c>
      <c r="B197" s="94" t="s">
        <v>244</v>
      </c>
      <c r="C197" s="99" t="s">
        <v>251</v>
      </c>
      <c r="D197" s="99"/>
      <c r="E197" s="58"/>
      <c r="F197" s="58"/>
      <c r="G197" s="58"/>
      <c r="H197" s="58"/>
      <c r="I197" s="58"/>
      <c r="J197" s="58"/>
      <c r="K197" s="58"/>
      <c r="L197" s="58"/>
      <c r="M197" s="58">
        <v>1</v>
      </c>
      <c r="N197" s="58"/>
      <c r="O197" s="58"/>
      <c r="P197" s="58"/>
      <c r="Q197" s="58"/>
      <c r="R197" s="58"/>
      <c r="S197" s="58"/>
    </row>
    <row r="198" spans="1:19" ht="15" x14ac:dyDescent="0.25">
      <c r="A198" s="101">
        <v>40719</v>
      </c>
      <c r="B198" s="94" t="s">
        <v>244</v>
      </c>
      <c r="C198" s="99" t="s">
        <v>252</v>
      </c>
      <c r="D198" s="99"/>
      <c r="E198" s="58"/>
      <c r="F198" s="58"/>
      <c r="G198" s="58"/>
      <c r="H198" s="58"/>
      <c r="I198" s="58"/>
      <c r="J198" s="58"/>
      <c r="K198" s="58"/>
      <c r="L198" s="58"/>
      <c r="M198" s="58">
        <v>1</v>
      </c>
      <c r="N198" s="58"/>
      <c r="O198" s="58"/>
      <c r="P198" s="58"/>
      <c r="Q198" s="58"/>
      <c r="R198" s="58"/>
      <c r="S198" s="58"/>
    </row>
    <row r="199" spans="1:19" ht="15" x14ac:dyDescent="0.25">
      <c r="A199" s="101">
        <v>40719</v>
      </c>
      <c r="B199" s="94" t="s">
        <v>244</v>
      </c>
      <c r="C199" s="99" t="s">
        <v>254</v>
      </c>
      <c r="D199" s="99"/>
      <c r="E199" s="58"/>
      <c r="F199" s="58"/>
      <c r="G199" s="58"/>
      <c r="H199" s="58"/>
      <c r="I199" s="58"/>
      <c r="J199" s="58"/>
      <c r="K199" s="58"/>
      <c r="L199" s="58"/>
      <c r="M199" s="58">
        <v>1</v>
      </c>
      <c r="N199" s="58"/>
      <c r="O199" s="58"/>
      <c r="P199" s="58"/>
      <c r="Q199" s="58"/>
      <c r="R199" s="58"/>
      <c r="S199" s="58"/>
    </row>
    <row r="200" spans="1:19" ht="15" x14ac:dyDescent="0.25">
      <c r="A200" s="101">
        <v>40719</v>
      </c>
      <c r="B200" s="94" t="s">
        <v>244</v>
      </c>
      <c r="C200" s="99" t="s">
        <v>256</v>
      </c>
      <c r="D200" s="99"/>
      <c r="E200" s="58"/>
      <c r="F200" s="58"/>
      <c r="G200" s="58"/>
      <c r="H200" s="58"/>
      <c r="I200" s="58"/>
      <c r="J200" s="58"/>
      <c r="K200" s="58"/>
      <c r="L200" s="58"/>
      <c r="M200" s="58">
        <v>1</v>
      </c>
      <c r="N200" s="58"/>
      <c r="O200" s="58"/>
      <c r="P200" s="58"/>
      <c r="Q200" s="58"/>
      <c r="R200" s="58"/>
      <c r="S200" s="58"/>
    </row>
    <row r="201" spans="1:19" ht="15" x14ac:dyDescent="0.25">
      <c r="A201" s="97">
        <v>40720</v>
      </c>
      <c r="B201" s="94" t="s">
        <v>244</v>
      </c>
      <c r="C201" s="99" t="s">
        <v>259</v>
      </c>
      <c r="D201" s="99"/>
      <c r="E201" s="58"/>
      <c r="F201" s="58"/>
      <c r="G201" s="58"/>
      <c r="H201" s="58"/>
      <c r="I201" s="58"/>
      <c r="J201" s="58"/>
      <c r="K201" s="58"/>
      <c r="L201" s="58"/>
      <c r="M201" s="58">
        <v>1</v>
      </c>
      <c r="N201" s="58"/>
      <c r="O201" s="58"/>
      <c r="P201" s="58"/>
      <c r="Q201" s="58"/>
      <c r="R201" s="58"/>
      <c r="S201" s="58"/>
    </row>
    <row r="202" spans="1:19" ht="15" x14ac:dyDescent="0.25">
      <c r="A202" s="97">
        <v>40722</v>
      </c>
      <c r="B202" s="100"/>
      <c r="C202" s="99" t="s">
        <v>260</v>
      </c>
      <c r="D202" s="99"/>
      <c r="E202" s="58"/>
      <c r="F202" s="58"/>
      <c r="G202" s="58"/>
      <c r="H202" s="58"/>
      <c r="I202" s="58"/>
      <c r="J202" s="58"/>
      <c r="K202" s="58"/>
      <c r="L202" s="58"/>
      <c r="M202" s="58">
        <v>1</v>
      </c>
      <c r="N202" s="58"/>
      <c r="O202" s="58"/>
      <c r="P202" s="58"/>
      <c r="Q202" s="58"/>
      <c r="R202" s="58"/>
      <c r="S202" s="58"/>
    </row>
    <row r="203" spans="1:19" ht="15" x14ac:dyDescent="0.25">
      <c r="A203" s="97">
        <v>40728</v>
      </c>
      <c r="B203" s="100"/>
      <c r="C203" s="99" t="s">
        <v>235</v>
      </c>
      <c r="D203" s="99"/>
      <c r="E203" s="58"/>
      <c r="F203" s="58"/>
      <c r="G203" s="58"/>
      <c r="H203" s="58"/>
      <c r="I203" s="58"/>
      <c r="J203" s="58"/>
      <c r="K203" s="58"/>
      <c r="L203" s="58"/>
      <c r="M203" s="58">
        <v>1</v>
      </c>
      <c r="N203" s="58"/>
      <c r="O203" s="58"/>
      <c r="P203" s="58"/>
      <c r="Q203" s="58"/>
      <c r="R203" s="58"/>
      <c r="S203" s="58"/>
    </row>
    <row r="204" spans="1:19" ht="15" x14ac:dyDescent="0.25">
      <c r="A204" s="101">
        <v>40743</v>
      </c>
      <c r="B204" s="100"/>
      <c r="C204" s="99" t="s">
        <v>263</v>
      </c>
      <c r="D204" s="99"/>
      <c r="E204" s="58"/>
      <c r="F204" s="58"/>
      <c r="G204" s="58"/>
      <c r="H204" s="58"/>
      <c r="I204" s="58"/>
      <c r="J204" s="58"/>
      <c r="K204" s="58"/>
      <c r="L204" s="58"/>
      <c r="M204" s="58">
        <v>1</v>
      </c>
      <c r="N204" s="58"/>
      <c r="O204" s="58"/>
      <c r="P204" s="58"/>
      <c r="Q204" s="58"/>
      <c r="R204" s="58"/>
      <c r="S204" s="58"/>
    </row>
    <row r="205" spans="1:19" ht="15" x14ac:dyDescent="0.25">
      <c r="A205" s="101">
        <v>40743</v>
      </c>
      <c r="B205" s="102" t="s">
        <v>267</v>
      </c>
      <c r="C205" s="99" t="s">
        <v>266</v>
      </c>
      <c r="D205" s="99"/>
      <c r="E205" s="58"/>
      <c r="F205" s="58"/>
      <c r="G205" s="58"/>
      <c r="H205" s="58"/>
      <c r="I205" s="58"/>
      <c r="J205" s="58"/>
      <c r="K205" s="58"/>
      <c r="L205" s="58"/>
      <c r="M205" s="58">
        <v>1</v>
      </c>
      <c r="N205" s="58"/>
      <c r="O205" s="58"/>
      <c r="P205" s="58"/>
      <c r="Q205" s="58"/>
      <c r="R205" s="58"/>
      <c r="S205" s="58"/>
    </row>
    <row r="206" spans="1:19" ht="15" x14ac:dyDescent="0.25">
      <c r="A206" s="97">
        <v>40753</v>
      </c>
      <c r="B206" s="102" t="s">
        <v>267</v>
      </c>
      <c r="C206" s="99" t="s">
        <v>268</v>
      </c>
      <c r="D206" s="99"/>
      <c r="E206" s="58"/>
      <c r="F206" s="58"/>
      <c r="G206" s="58"/>
      <c r="H206" s="58"/>
      <c r="I206" s="58"/>
      <c r="J206" s="58"/>
      <c r="K206" s="58"/>
      <c r="L206" s="58"/>
      <c r="M206" s="58">
        <v>1</v>
      </c>
      <c r="N206" s="58"/>
      <c r="O206" s="58"/>
      <c r="P206" s="58"/>
      <c r="Q206" s="58"/>
      <c r="R206" s="58"/>
      <c r="S206" s="58"/>
    </row>
    <row r="207" spans="1:19" ht="15" x14ac:dyDescent="0.25">
      <c r="A207" s="97">
        <v>40802</v>
      </c>
      <c r="B207" s="100"/>
      <c r="C207" s="99" t="s">
        <v>270</v>
      </c>
      <c r="D207" s="99"/>
      <c r="E207" s="58"/>
      <c r="F207" s="58"/>
      <c r="G207" s="58"/>
      <c r="H207" s="58"/>
      <c r="I207" s="58"/>
      <c r="J207" s="58"/>
      <c r="K207" s="58"/>
      <c r="L207" s="58"/>
      <c r="M207" s="58">
        <v>1</v>
      </c>
      <c r="N207" s="58"/>
      <c r="O207" s="58"/>
      <c r="P207" s="58"/>
      <c r="Q207" s="58"/>
      <c r="R207" s="58"/>
      <c r="S207" s="58"/>
    </row>
    <row r="208" spans="1:19" ht="15" x14ac:dyDescent="0.25">
      <c r="A208" s="97">
        <v>40803</v>
      </c>
      <c r="B208" s="100"/>
      <c r="C208" s="99" t="s">
        <v>272</v>
      </c>
      <c r="D208" s="99"/>
      <c r="E208" s="58"/>
      <c r="F208" s="58"/>
      <c r="G208" s="58"/>
      <c r="H208" s="58"/>
      <c r="I208" s="58"/>
      <c r="J208" s="58"/>
      <c r="K208" s="58"/>
      <c r="L208" s="58"/>
      <c r="M208" s="58">
        <v>1</v>
      </c>
      <c r="N208" s="58"/>
      <c r="O208" s="58"/>
      <c r="P208" s="58"/>
      <c r="Q208" s="58"/>
      <c r="R208" s="58"/>
      <c r="S208" s="58"/>
    </row>
    <row r="209" spans="1:19" ht="15" x14ac:dyDescent="0.25">
      <c r="A209" s="97">
        <v>40810</v>
      </c>
      <c r="B209" s="94" t="s">
        <v>139</v>
      </c>
      <c r="C209" s="99" t="s">
        <v>274</v>
      </c>
      <c r="D209" s="99"/>
      <c r="E209" s="58"/>
      <c r="F209" s="58"/>
      <c r="G209" s="58"/>
      <c r="H209" s="58"/>
      <c r="I209" s="58"/>
      <c r="J209" s="58"/>
      <c r="K209" s="58"/>
      <c r="L209" s="58"/>
      <c r="M209" s="58">
        <v>1</v>
      </c>
      <c r="N209" s="58"/>
      <c r="O209" s="58"/>
      <c r="P209" s="58"/>
      <c r="Q209" s="58"/>
      <c r="R209" s="58"/>
      <c r="S209" s="58"/>
    </row>
    <row r="210" spans="1:19" ht="15" customHeight="1" x14ac:dyDescent="0.25">
      <c r="A210" s="101">
        <v>40838</v>
      </c>
      <c r="B210" s="94" t="s">
        <v>139</v>
      </c>
      <c r="C210" s="103" t="s">
        <v>210</v>
      </c>
      <c r="D210" s="103"/>
      <c r="E210" s="58"/>
      <c r="F210" s="58"/>
      <c r="G210" s="58"/>
      <c r="H210" s="58"/>
      <c r="I210" s="58"/>
      <c r="J210" s="58"/>
      <c r="K210" s="58"/>
      <c r="L210" s="58"/>
      <c r="M210" s="58">
        <v>2</v>
      </c>
      <c r="N210" s="58"/>
      <c r="O210" s="58"/>
      <c r="P210" s="58"/>
      <c r="Q210" s="58"/>
      <c r="R210" s="58"/>
      <c r="S210" s="58"/>
    </row>
    <row r="211" spans="1:19" ht="15" customHeight="1" x14ac:dyDescent="0.25">
      <c r="A211" s="101">
        <v>40845</v>
      </c>
      <c r="B211" s="94" t="s">
        <v>139</v>
      </c>
      <c r="C211" s="103" t="s">
        <v>210</v>
      </c>
      <c r="D211" s="103"/>
      <c r="E211" s="58"/>
      <c r="F211" s="58"/>
      <c r="G211" s="58"/>
      <c r="H211" s="58"/>
      <c r="I211" s="58"/>
      <c r="J211" s="58"/>
      <c r="K211" s="58"/>
      <c r="L211" s="58"/>
      <c r="M211" s="58">
        <v>2</v>
      </c>
      <c r="N211" s="58"/>
      <c r="O211" s="58"/>
      <c r="P211" s="58"/>
      <c r="Q211" s="58"/>
      <c r="R211" s="58"/>
      <c r="S211" s="58"/>
    </row>
    <row r="212" spans="1:19" ht="15" customHeight="1" x14ac:dyDescent="0.25">
      <c r="A212" s="101">
        <v>40847</v>
      </c>
      <c r="B212" s="94" t="s">
        <v>139</v>
      </c>
      <c r="C212" s="103" t="s">
        <v>210</v>
      </c>
      <c r="D212" s="103"/>
      <c r="E212" s="58"/>
      <c r="F212" s="58"/>
      <c r="G212" s="58"/>
      <c r="H212" s="58"/>
      <c r="I212" s="58"/>
      <c r="J212" s="58"/>
      <c r="K212" s="58"/>
      <c r="L212" s="58"/>
      <c r="M212" s="58">
        <v>2</v>
      </c>
      <c r="N212" s="58"/>
      <c r="O212" s="58"/>
      <c r="P212" s="58"/>
      <c r="Q212" s="58"/>
      <c r="R212" s="58"/>
      <c r="S212" s="58"/>
    </row>
    <row r="213" spans="1:19" ht="15" customHeight="1" x14ac:dyDescent="0.25">
      <c r="A213" s="101">
        <v>40848</v>
      </c>
      <c r="B213" s="94" t="s">
        <v>139</v>
      </c>
      <c r="C213" s="103" t="s">
        <v>210</v>
      </c>
      <c r="D213" s="103"/>
      <c r="E213" s="58"/>
      <c r="F213" s="58"/>
      <c r="G213" s="58"/>
      <c r="H213" s="58"/>
      <c r="I213" s="58"/>
      <c r="J213" s="58"/>
      <c r="K213" s="58"/>
      <c r="L213" s="58"/>
      <c r="M213" s="58">
        <v>2</v>
      </c>
      <c r="N213" s="58"/>
      <c r="O213" s="58"/>
      <c r="P213" s="58"/>
      <c r="Q213" s="58"/>
      <c r="R213" s="58"/>
      <c r="S213" s="58"/>
    </row>
    <row r="214" spans="1:19" ht="15" customHeight="1" x14ac:dyDescent="0.25">
      <c r="A214" s="101">
        <v>40849</v>
      </c>
      <c r="B214" s="94" t="s">
        <v>139</v>
      </c>
      <c r="C214" s="103" t="s">
        <v>210</v>
      </c>
      <c r="D214" s="103"/>
      <c r="E214" s="58"/>
      <c r="F214" s="58"/>
      <c r="G214" s="58"/>
      <c r="H214" s="58"/>
      <c r="I214" s="58"/>
      <c r="J214" s="58"/>
      <c r="K214" s="58"/>
      <c r="L214" s="58"/>
      <c r="M214" s="58">
        <v>2</v>
      </c>
      <c r="N214" s="58"/>
      <c r="O214" s="58"/>
      <c r="P214" s="58"/>
      <c r="Q214" s="58"/>
      <c r="R214" s="58"/>
      <c r="S214" s="58"/>
    </row>
    <row r="215" spans="1:19" ht="15" x14ac:dyDescent="0.25">
      <c r="A215" s="97">
        <v>40862</v>
      </c>
      <c r="B215" s="94" t="s">
        <v>139</v>
      </c>
      <c r="C215" s="99" t="s">
        <v>280</v>
      </c>
      <c r="D215" s="99"/>
      <c r="E215" s="58"/>
      <c r="F215" s="58"/>
      <c r="G215" s="58"/>
      <c r="H215" s="58"/>
      <c r="I215" s="58"/>
      <c r="J215" s="58"/>
      <c r="K215" s="58"/>
      <c r="L215" s="58"/>
      <c r="M215" s="58">
        <v>1</v>
      </c>
      <c r="N215" s="58"/>
      <c r="O215" s="58"/>
      <c r="P215" s="58"/>
      <c r="Q215" s="58"/>
      <c r="R215" s="58"/>
      <c r="S215" s="58"/>
    </row>
    <row r="216" spans="1:19" ht="15" customHeight="1" x14ac:dyDescent="0.25">
      <c r="A216" s="101">
        <v>40868</v>
      </c>
      <c r="B216" s="94" t="s">
        <v>139</v>
      </c>
      <c r="C216" s="103" t="s">
        <v>282</v>
      </c>
      <c r="D216" s="103"/>
      <c r="E216" s="58"/>
      <c r="F216" s="58"/>
      <c r="G216" s="58"/>
      <c r="H216" s="58"/>
      <c r="I216" s="58"/>
      <c r="J216" s="58"/>
      <c r="K216" s="58"/>
      <c r="L216" s="58"/>
      <c r="M216" s="58">
        <v>2</v>
      </c>
      <c r="N216" s="58"/>
      <c r="O216" s="58"/>
      <c r="P216" s="58"/>
      <c r="Q216" s="58"/>
      <c r="R216" s="58"/>
      <c r="S216" s="58"/>
    </row>
    <row r="217" spans="1:19" ht="15" x14ac:dyDescent="0.25"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</row>
    <row r="218" spans="1:19" ht="15" x14ac:dyDescent="0.25">
      <c r="A218" s="104">
        <v>40940</v>
      </c>
      <c r="B218" s="105"/>
      <c r="C218" s="106" t="s">
        <v>305</v>
      </c>
      <c r="D218" s="106"/>
      <c r="E218" s="58"/>
      <c r="F218" s="58"/>
      <c r="G218" s="58"/>
      <c r="H218" s="58"/>
      <c r="I218" s="58"/>
      <c r="J218" s="58"/>
      <c r="K218" s="58"/>
      <c r="L218" s="58"/>
      <c r="M218" s="58"/>
      <c r="N218" s="58">
        <v>1</v>
      </c>
      <c r="O218" s="58"/>
      <c r="P218" s="58"/>
      <c r="Q218" s="58"/>
      <c r="R218" s="58"/>
      <c r="S218" s="58"/>
    </row>
    <row r="219" spans="1:19" ht="15" x14ac:dyDescent="0.25">
      <c r="A219" s="104">
        <v>40946</v>
      </c>
      <c r="B219" s="107" t="s">
        <v>139</v>
      </c>
      <c r="C219" s="106" t="s">
        <v>287</v>
      </c>
      <c r="D219" s="106"/>
      <c r="E219" s="58"/>
      <c r="F219" s="58"/>
      <c r="G219" s="58"/>
      <c r="H219" s="58"/>
      <c r="I219" s="58"/>
      <c r="J219" s="58"/>
      <c r="K219" s="58"/>
      <c r="L219" s="58"/>
      <c r="M219" s="58"/>
      <c r="N219" s="58">
        <v>1</v>
      </c>
      <c r="O219" s="58"/>
      <c r="P219" s="58"/>
      <c r="Q219" s="58"/>
      <c r="R219" s="58"/>
      <c r="S219" s="58"/>
    </row>
    <row r="220" spans="1:19" ht="15" x14ac:dyDescent="0.25">
      <c r="A220" s="104">
        <v>40948</v>
      </c>
      <c r="B220" s="107" t="s">
        <v>139</v>
      </c>
      <c r="C220" s="106" t="s">
        <v>350</v>
      </c>
      <c r="D220" s="106"/>
      <c r="E220" s="58"/>
      <c r="F220" s="58"/>
      <c r="G220" s="58"/>
      <c r="H220" s="58"/>
      <c r="I220" s="58"/>
      <c r="J220" s="58"/>
      <c r="K220" s="58"/>
      <c r="L220" s="58"/>
      <c r="M220" s="58"/>
      <c r="N220" s="58">
        <v>1</v>
      </c>
      <c r="O220" s="58"/>
      <c r="P220" s="58"/>
      <c r="Q220" s="58"/>
      <c r="R220" s="58"/>
      <c r="S220" s="58"/>
    </row>
    <row r="221" spans="1:19" ht="15" x14ac:dyDescent="0.25">
      <c r="A221" s="104">
        <v>40949</v>
      </c>
      <c r="B221" s="105"/>
      <c r="C221" s="106" t="s">
        <v>290</v>
      </c>
      <c r="D221" s="106"/>
      <c r="E221" s="58"/>
      <c r="F221" s="58"/>
      <c r="G221" s="58"/>
      <c r="H221" s="58"/>
      <c r="I221" s="58"/>
      <c r="J221" s="58"/>
      <c r="K221" s="58"/>
      <c r="L221" s="58"/>
      <c r="M221" s="58"/>
      <c r="N221" s="58">
        <v>1</v>
      </c>
      <c r="O221" s="58"/>
      <c r="P221" s="58"/>
      <c r="Q221" s="58"/>
      <c r="R221" s="58"/>
      <c r="S221" s="58"/>
    </row>
    <row r="222" spans="1:19" ht="15" x14ac:dyDescent="0.25">
      <c r="A222" s="104">
        <v>40997</v>
      </c>
      <c r="B222" s="105"/>
      <c r="C222" s="106" t="s">
        <v>292</v>
      </c>
      <c r="D222" s="106"/>
      <c r="E222" s="58"/>
      <c r="F222" s="58"/>
      <c r="G222" s="58"/>
      <c r="H222" s="58"/>
      <c r="I222" s="58"/>
      <c r="J222" s="58"/>
      <c r="K222" s="58"/>
      <c r="L222" s="58"/>
      <c r="M222" s="58"/>
      <c r="N222" s="58">
        <v>1</v>
      </c>
      <c r="O222" s="58"/>
      <c r="P222" s="58"/>
      <c r="Q222" s="58"/>
      <c r="R222" s="58"/>
      <c r="S222" s="58"/>
    </row>
    <row r="223" spans="1:19" ht="15" x14ac:dyDescent="0.25">
      <c r="A223" s="108">
        <v>40998</v>
      </c>
      <c r="B223" s="105"/>
      <c r="C223" s="109" t="s">
        <v>294</v>
      </c>
      <c r="D223" s="109"/>
      <c r="E223" s="58"/>
      <c r="F223" s="58"/>
      <c r="G223" s="58"/>
      <c r="H223" s="58"/>
      <c r="I223" s="58"/>
      <c r="J223" s="58"/>
      <c r="K223" s="58"/>
      <c r="L223" s="58"/>
      <c r="M223" s="58"/>
      <c r="N223" s="58">
        <v>1</v>
      </c>
      <c r="O223" s="58"/>
      <c r="P223" s="58"/>
      <c r="Q223" s="58"/>
      <c r="R223" s="58"/>
      <c r="S223" s="58"/>
    </row>
    <row r="224" spans="1:19" ht="15" x14ac:dyDescent="0.25">
      <c r="A224" s="108">
        <v>40999</v>
      </c>
      <c r="B224" s="107" t="s">
        <v>139</v>
      </c>
      <c r="C224" s="109" t="s">
        <v>296</v>
      </c>
      <c r="D224" s="109"/>
      <c r="E224" s="58"/>
      <c r="F224" s="58"/>
      <c r="G224" s="58"/>
      <c r="H224" s="58"/>
      <c r="I224" s="58"/>
      <c r="J224" s="58"/>
      <c r="K224" s="58"/>
      <c r="L224" s="58"/>
      <c r="M224" s="58"/>
      <c r="N224" s="58">
        <v>1</v>
      </c>
      <c r="O224" s="58"/>
      <c r="P224" s="58"/>
      <c r="Q224" s="58"/>
      <c r="R224" s="58"/>
      <c r="S224" s="58"/>
    </row>
    <row r="225" spans="1:19" ht="15" x14ac:dyDescent="0.25">
      <c r="A225" s="108">
        <v>41000</v>
      </c>
      <c r="B225" s="107" t="s">
        <v>139</v>
      </c>
      <c r="C225" s="109" t="s">
        <v>300</v>
      </c>
      <c r="D225" s="109"/>
      <c r="E225" s="58"/>
      <c r="F225" s="58"/>
      <c r="G225" s="58"/>
      <c r="H225" s="58"/>
      <c r="I225" s="58"/>
      <c r="J225" s="58"/>
      <c r="K225" s="58"/>
      <c r="L225" s="58"/>
      <c r="M225" s="58"/>
      <c r="N225" s="58">
        <v>1</v>
      </c>
      <c r="O225" s="58"/>
      <c r="P225" s="58"/>
      <c r="Q225" s="58"/>
      <c r="R225" s="58"/>
      <c r="S225" s="58"/>
    </row>
    <row r="226" spans="1:19" ht="15" x14ac:dyDescent="0.25">
      <c r="A226" s="104">
        <v>41021</v>
      </c>
      <c r="B226" s="110" t="s">
        <v>139</v>
      </c>
      <c r="C226" s="106" t="s">
        <v>301</v>
      </c>
      <c r="D226" s="106"/>
      <c r="E226" s="58"/>
      <c r="F226" s="58"/>
      <c r="G226" s="58"/>
      <c r="H226" s="58"/>
      <c r="I226" s="58"/>
      <c r="J226" s="58"/>
      <c r="K226" s="58"/>
      <c r="L226" s="58"/>
      <c r="M226" s="58"/>
      <c r="N226" s="58">
        <v>1</v>
      </c>
      <c r="O226" s="58"/>
      <c r="P226" s="58"/>
      <c r="Q226" s="58"/>
      <c r="R226" s="58"/>
      <c r="S226" s="58"/>
    </row>
    <row r="227" spans="1:19" ht="15" x14ac:dyDescent="0.25">
      <c r="A227" s="104">
        <v>41030</v>
      </c>
      <c r="B227" s="107" t="s">
        <v>139</v>
      </c>
      <c r="C227" s="106" t="s">
        <v>302</v>
      </c>
      <c r="D227" s="106"/>
      <c r="E227" s="58"/>
      <c r="F227" s="58"/>
      <c r="G227" s="58"/>
      <c r="H227" s="58"/>
      <c r="I227" s="58"/>
      <c r="J227" s="58"/>
      <c r="K227" s="58"/>
      <c r="L227" s="58"/>
      <c r="M227" s="58"/>
      <c r="N227" s="58">
        <v>1</v>
      </c>
      <c r="O227" s="58"/>
      <c r="P227" s="58"/>
      <c r="Q227" s="58"/>
      <c r="R227" s="58"/>
      <c r="S227" s="58"/>
    </row>
    <row r="228" spans="1:19" ht="15" x14ac:dyDescent="0.25">
      <c r="A228" s="104">
        <v>41033</v>
      </c>
      <c r="B228" s="105"/>
      <c r="C228" s="106" t="s">
        <v>304</v>
      </c>
      <c r="D228" s="106"/>
      <c r="E228" s="58"/>
      <c r="F228" s="58"/>
      <c r="G228" s="58"/>
      <c r="H228" s="58"/>
      <c r="I228" s="58"/>
      <c r="J228" s="58"/>
      <c r="K228" s="58"/>
      <c r="L228" s="58"/>
      <c r="M228" s="58"/>
      <c r="N228" s="58">
        <v>1</v>
      </c>
      <c r="O228" s="58"/>
      <c r="P228" s="58"/>
      <c r="Q228" s="58"/>
      <c r="R228" s="58"/>
      <c r="S228" s="58"/>
    </row>
    <row r="229" spans="1:19" ht="15" x14ac:dyDescent="0.25">
      <c r="A229" s="104">
        <v>41035</v>
      </c>
      <c r="B229" s="105"/>
      <c r="C229" s="106" t="s">
        <v>307</v>
      </c>
      <c r="D229" s="106"/>
      <c r="E229" s="58"/>
      <c r="F229" s="58"/>
      <c r="G229" s="58"/>
      <c r="H229" s="58"/>
      <c r="I229" s="58"/>
      <c r="J229" s="58"/>
      <c r="K229" s="58"/>
      <c r="L229" s="58"/>
      <c r="M229" s="58"/>
      <c r="N229" s="58">
        <v>1</v>
      </c>
      <c r="O229" s="58"/>
      <c r="P229" s="58"/>
      <c r="Q229" s="58"/>
      <c r="R229" s="58"/>
      <c r="S229" s="58"/>
    </row>
    <row r="230" spans="1:19" ht="15" x14ac:dyDescent="0.25">
      <c r="A230" s="104">
        <v>41042</v>
      </c>
      <c r="B230" s="107" t="s">
        <v>139</v>
      </c>
      <c r="C230" s="106" t="s">
        <v>309</v>
      </c>
      <c r="D230" s="106"/>
      <c r="E230" s="58"/>
      <c r="F230" s="58"/>
      <c r="G230" s="58"/>
      <c r="H230" s="58"/>
      <c r="I230" s="58"/>
      <c r="J230" s="58"/>
      <c r="K230" s="58"/>
      <c r="L230" s="58"/>
      <c r="M230" s="58"/>
      <c r="N230" s="58">
        <v>1</v>
      </c>
      <c r="O230" s="58"/>
      <c r="P230" s="58"/>
      <c r="Q230" s="58"/>
      <c r="R230" s="58"/>
      <c r="S230" s="58"/>
    </row>
    <row r="231" spans="1:19" ht="15" x14ac:dyDescent="0.25">
      <c r="A231" s="104">
        <v>41048</v>
      </c>
      <c r="B231" s="107" t="s">
        <v>139</v>
      </c>
      <c r="C231" s="106" t="s">
        <v>311</v>
      </c>
      <c r="D231" s="106"/>
      <c r="E231" s="58"/>
      <c r="F231" s="58"/>
      <c r="G231" s="58"/>
      <c r="H231" s="58"/>
      <c r="I231" s="58"/>
      <c r="J231" s="58"/>
      <c r="K231" s="58"/>
      <c r="L231" s="58"/>
      <c r="M231" s="58"/>
      <c r="N231" s="58">
        <v>1</v>
      </c>
      <c r="O231" s="58"/>
      <c r="P231" s="58"/>
      <c r="Q231" s="58"/>
      <c r="R231" s="58"/>
      <c r="S231" s="58"/>
    </row>
    <row r="232" spans="1:19" ht="15" x14ac:dyDescent="0.25">
      <c r="A232" s="104">
        <v>41049</v>
      </c>
      <c r="B232" s="107" t="s">
        <v>139</v>
      </c>
      <c r="C232" s="106" t="s">
        <v>351</v>
      </c>
      <c r="D232" s="106"/>
      <c r="E232" s="58"/>
      <c r="F232" s="58"/>
      <c r="G232" s="58"/>
      <c r="H232" s="58"/>
      <c r="I232" s="58"/>
      <c r="J232" s="58"/>
      <c r="K232" s="58"/>
      <c r="L232" s="58"/>
      <c r="M232" s="58"/>
      <c r="N232" s="58">
        <v>1</v>
      </c>
      <c r="O232" s="58"/>
      <c r="P232" s="58"/>
      <c r="Q232" s="58"/>
      <c r="R232" s="58"/>
      <c r="S232" s="58"/>
    </row>
    <row r="233" spans="1:19" ht="15" x14ac:dyDescent="0.25">
      <c r="A233" s="111">
        <v>41053</v>
      </c>
      <c r="B233" s="107" t="s">
        <v>139</v>
      </c>
      <c r="C233" s="106" t="s">
        <v>323</v>
      </c>
      <c r="D233" s="106"/>
      <c r="E233" s="58"/>
      <c r="F233" s="58"/>
      <c r="G233" s="58"/>
      <c r="H233" s="58"/>
      <c r="I233" s="58"/>
      <c r="J233" s="58"/>
      <c r="K233" s="58"/>
      <c r="L233" s="58"/>
      <c r="M233" s="58"/>
      <c r="N233" s="58">
        <v>1</v>
      </c>
      <c r="O233" s="58"/>
      <c r="P233" s="58"/>
      <c r="Q233" s="58"/>
      <c r="R233" s="58"/>
      <c r="S233" s="58"/>
    </row>
    <row r="234" spans="1:19" ht="15" x14ac:dyDescent="0.25">
      <c r="A234" s="111">
        <v>41053</v>
      </c>
      <c r="B234" s="107" t="s">
        <v>139</v>
      </c>
      <c r="C234" s="106" t="s">
        <v>321</v>
      </c>
      <c r="D234" s="106"/>
      <c r="E234" s="58"/>
      <c r="F234" s="58"/>
      <c r="G234" s="58"/>
      <c r="H234" s="58"/>
      <c r="I234" s="58"/>
      <c r="J234" s="58"/>
      <c r="K234" s="58"/>
      <c r="L234" s="58"/>
      <c r="M234" s="58"/>
      <c r="N234" s="58">
        <v>1</v>
      </c>
      <c r="O234" s="58"/>
      <c r="P234" s="58"/>
      <c r="Q234" s="58"/>
      <c r="R234" s="58"/>
      <c r="S234" s="58"/>
    </row>
    <row r="235" spans="1:19" ht="15" x14ac:dyDescent="0.25">
      <c r="A235" s="111">
        <v>41053</v>
      </c>
      <c r="B235" s="107" t="s">
        <v>139</v>
      </c>
      <c r="C235" s="106" t="s">
        <v>322</v>
      </c>
      <c r="D235" s="106"/>
      <c r="E235" s="58"/>
      <c r="F235" s="58"/>
      <c r="G235" s="58"/>
      <c r="H235" s="58"/>
      <c r="I235" s="58"/>
      <c r="J235" s="58"/>
      <c r="K235" s="58"/>
      <c r="L235" s="58"/>
      <c r="M235" s="58"/>
      <c r="N235" s="58">
        <v>1</v>
      </c>
      <c r="O235" s="58"/>
      <c r="P235" s="58"/>
      <c r="Q235" s="58"/>
      <c r="R235" s="58"/>
      <c r="S235" s="58"/>
    </row>
    <row r="236" spans="1:19" ht="15" x14ac:dyDescent="0.25">
      <c r="A236" s="111">
        <v>41054</v>
      </c>
      <c r="B236" s="107" t="s">
        <v>139</v>
      </c>
      <c r="C236" s="106" t="s">
        <v>313</v>
      </c>
      <c r="D236" s="106"/>
      <c r="E236" s="58"/>
      <c r="F236" s="58"/>
      <c r="G236" s="58"/>
      <c r="H236" s="58"/>
      <c r="I236" s="58"/>
      <c r="J236" s="58"/>
      <c r="K236" s="58"/>
      <c r="L236" s="58"/>
      <c r="M236" s="58"/>
      <c r="N236" s="58">
        <v>1</v>
      </c>
      <c r="O236" s="58"/>
      <c r="P236" s="58"/>
      <c r="Q236" s="58"/>
      <c r="R236" s="58"/>
      <c r="S236" s="58"/>
    </row>
    <row r="237" spans="1:19" ht="15" x14ac:dyDescent="0.25">
      <c r="A237" s="111">
        <v>41054</v>
      </c>
      <c r="B237" s="107" t="s">
        <v>139</v>
      </c>
      <c r="C237" s="106" t="s">
        <v>314</v>
      </c>
      <c r="D237" s="106"/>
      <c r="E237" s="58"/>
      <c r="F237" s="58"/>
      <c r="G237" s="58"/>
      <c r="H237" s="58"/>
      <c r="I237" s="58"/>
      <c r="J237" s="58"/>
      <c r="K237" s="58"/>
      <c r="L237" s="58"/>
      <c r="M237" s="58"/>
      <c r="N237" s="58">
        <v>1</v>
      </c>
      <c r="O237" s="58"/>
      <c r="P237" s="58"/>
      <c r="Q237" s="58"/>
      <c r="R237" s="58"/>
      <c r="S237" s="58"/>
    </row>
    <row r="238" spans="1:19" ht="15" x14ac:dyDescent="0.25">
      <c r="A238" s="111">
        <v>41054</v>
      </c>
      <c r="B238" s="107" t="s">
        <v>139</v>
      </c>
      <c r="C238" s="106" t="s">
        <v>317</v>
      </c>
      <c r="D238" s="106"/>
      <c r="E238" s="58"/>
      <c r="F238" s="58"/>
      <c r="G238" s="58"/>
      <c r="H238" s="58"/>
      <c r="I238" s="58"/>
      <c r="J238" s="58"/>
      <c r="K238" s="58"/>
      <c r="L238" s="58"/>
      <c r="M238" s="58"/>
      <c r="N238" s="58">
        <v>1</v>
      </c>
      <c r="O238" s="58"/>
      <c r="P238" s="58"/>
      <c r="Q238" s="58"/>
      <c r="R238" s="58"/>
      <c r="S238" s="58"/>
    </row>
    <row r="239" spans="1:19" ht="15" x14ac:dyDescent="0.25">
      <c r="A239" s="111">
        <v>41054</v>
      </c>
      <c r="B239" s="107" t="s">
        <v>139</v>
      </c>
      <c r="C239" s="106" t="s">
        <v>318</v>
      </c>
      <c r="D239" s="106"/>
      <c r="E239" s="58"/>
      <c r="F239" s="58"/>
      <c r="G239" s="58"/>
      <c r="H239" s="58"/>
      <c r="I239" s="58"/>
      <c r="J239" s="58"/>
      <c r="K239" s="58"/>
      <c r="L239" s="58"/>
      <c r="M239" s="58"/>
      <c r="N239" s="58">
        <v>1</v>
      </c>
      <c r="O239" s="58"/>
      <c r="P239" s="58"/>
      <c r="Q239" s="58"/>
      <c r="R239" s="58"/>
      <c r="S239" s="58"/>
    </row>
    <row r="240" spans="1:19" ht="15" x14ac:dyDescent="0.25">
      <c r="A240" s="104">
        <v>41055</v>
      </c>
      <c r="B240" s="107" t="s">
        <v>139</v>
      </c>
      <c r="C240" s="106" t="s">
        <v>327</v>
      </c>
      <c r="D240" s="106"/>
      <c r="E240" s="58"/>
      <c r="F240" s="58"/>
      <c r="G240" s="58"/>
      <c r="H240" s="58"/>
      <c r="I240" s="58"/>
      <c r="J240" s="58"/>
      <c r="K240" s="58"/>
      <c r="L240" s="58"/>
      <c r="M240" s="58"/>
      <c r="N240" s="58">
        <v>1</v>
      </c>
      <c r="O240" s="58"/>
      <c r="P240" s="58"/>
      <c r="Q240" s="58"/>
      <c r="R240" s="58"/>
      <c r="S240" s="58"/>
    </row>
    <row r="241" spans="1:19" ht="15" x14ac:dyDescent="0.25">
      <c r="A241" s="111">
        <v>41059</v>
      </c>
      <c r="B241" s="112" t="s">
        <v>139</v>
      </c>
      <c r="C241" s="106" t="s">
        <v>329</v>
      </c>
      <c r="D241" s="106"/>
      <c r="E241" s="58"/>
      <c r="F241" s="58"/>
      <c r="G241" s="58"/>
      <c r="H241" s="58"/>
      <c r="I241" s="58"/>
      <c r="J241" s="58"/>
      <c r="K241" s="58"/>
      <c r="L241" s="58"/>
      <c r="M241" s="58"/>
      <c r="N241" s="58">
        <v>1</v>
      </c>
      <c r="O241" s="58"/>
      <c r="P241" s="58"/>
      <c r="Q241" s="58"/>
      <c r="R241" s="58"/>
      <c r="S241" s="58"/>
    </row>
    <row r="242" spans="1:19" ht="15" x14ac:dyDescent="0.25">
      <c r="A242" s="111">
        <v>41059</v>
      </c>
      <c r="B242" s="112" t="s">
        <v>139</v>
      </c>
      <c r="C242" s="106" t="s">
        <v>333</v>
      </c>
      <c r="D242" s="106"/>
      <c r="E242" s="58"/>
      <c r="F242" s="58"/>
      <c r="G242" s="58"/>
      <c r="H242" s="58"/>
      <c r="I242" s="58"/>
      <c r="J242" s="58"/>
      <c r="K242" s="58"/>
      <c r="L242" s="58"/>
      <c r="M242" s="58"/>
      <c r="N242" s="58">
        <v>1</v>
      </c>
      <c r="O242" s="58"/>
      <c r="P242" s="58"/>
      <c r="Q242" s="58"/>
      <c r="R242" s="58"/>
      <c r="S242" s="58"/>
    </row>
    <row r="243" spans="1:19" ht="15" x14ac:dyDescent="0.25">
      <c r="A243" s="104">
        <v>41060</v>
      </c>
      <c r="B243" s="110" t="s">
        <v>139</v>
      </c>
      <c r="C243" s="106" t="s">
        <v>331</v>
      </c>
      <c r="D243" s="106"/>
      <c r="E243" s="58"/>
      <c r="F243" s="58"/>
      <c r="G243" s="58"/>
      <c r="H243" s="58"/>
      <c r="I243" s="58"/>
      <c r="J243" s="58"/>
      <c r="K243" s="58"/>
      <c r="L243" s="58"/>
      <c r="M243" s="58"/>
      <c r="N243" s="58">
        <v>1</v>
      </c>
      <c r="O243" s="58"/>
      <c r="P243" s="58"/>
      <c r="Q243" s="58"/>
      <c r="R243" s="58"/>
      <c r="S243" s="58"/>
    </row>
    <row r="244" spans="1:19" ht="15" x14ac:dyDescent="0.25">
      <c r="A244" s="104">
        <v>41065</v>
      </c>
      <c r="B244" s="107" t="s">
        <v>139</v>
      </c>
      <c r="C244" s="106" t="s">
        <v>334</v>
      </c>
      <c r="D244" s="106"/>
      <c r="E244" s="58"/>
      <c r="F244" s="58"/>
      <c r="G244" s="58"/>
      <c r="H244" s="58"/>
      <c r="I244" s="58"/>
      <c r="J244" s="58"/>
      <c r="K244" s="58"/>
      <c r="L244" s="58"/>
      <c r="M244" s="58"/>
      <c r="N244" s="58">
        <v>1</v>
      </c>
      <c r="O244" s="58"/>
      <c r="P244" s="58"/>
      <c r="Q244" s="58"/>
      <c r="R244" s="58"/>
      <c r="S244" s="58"/>
    </row>
    <row r="245" spans="1:19" ht="15" customHeight="1" x14ac:dyDescent="0.25">
      <c r="A245" s="104">
        <v>41070</v>
      </c>
      <c r="B245" s="107" t="s">
        <v>139</v>
      </c>
      <c r="C245" s="106" t="s">
        <v>336</v>
      </c>
      <c r="D245" s="106"/>
      <c r="E245" s="58"/>
      <c r="F245" s="58"/>
      <c r="G245" s="58"/>
      <c r="H245" s="58"/>
      <c r="I245" s="58"/>
      <c r="J245" s="58"/>
      <c r="K245" s="58"/>
      <c r="L245" s="58"/>
      <c r="M245" s="58"/>
      <c r="N245" s="58">
        <v>1</v>
      </c>
      <c r="O245" s="58"/>
      <c r="P245" s="58"/>
      <c r="Q245" s="58"/>
      <c r="R245" s="58"/>
      <c r="S245" s="58"/>
    </row>
    <row r="246" spans="1:19" ht="15" x14ac:dyDescent="0.25">
      <c r="A246" s="104">
        <v>41071</v>
      </c>
      <c r="B246" s="110" t="s">
        <v>139</v>
      </c>
      <c r="C246" s="106" t="s">
        <v>338</v>
      </c>
      <c r="D246" s="106"/>
      <c r="E246" s="58"/>
      <c r="F246" s="58"/>
      <c r="G246" s="58"/>
      <c r="H246" s="58"/>
      <c r="I246" s="58"/>
      <c r="J246" s="58"/>
      <c r="K246" s="58"/>
      <c r="L246" s="58"/>
      <c r="M246" s="58"/>
      <c r="N246" s="58">
        <v>1</v>
      </c>
      <c r="O246" s="58"/>
      <c r="P246" s="58"/>
      <c r="Q246" s="58"/>
      <c r="R246" s="58"/>
      <c r="S246" s="58"/>
    </row>
    <row r="247" spans="1:19" ht="15" x14ac:dyDescent="0.25">
      <c r="A247" s="104">
        <v>41083</v>
      </c>
      <c r="B247" s="113" t="s">
        <v>139</v>
      </c>
      <c r="C247" s="106" t="s">
        <v>339</v>
      </c>
      <c r="D247" s="106"/>
      <c r="E247" s="58"/>
      <c r="F247" s="58"/>
      <c r="G247" s="58"/>
      <c r="H247" s="58"/>
      <c r="I247" s="58"/>
      <c r="J247" s="58"/>
      <c r="K247" s="58"/>
      <c r="L247" s="58"/>
      <c r="M247" s="58"/>
      <c r="N247" s="58">
        <v>1</v>
      </c>
      <c r="O247" s="58"/>
      <c r="P247" s="58"/>
      <c r="Q247" s="58"/>
      <c r="R247" s="58"/>
      <c r="S247" s="58"/>
    </row>
    <row r="248" spans="1:19" ht="15" x14ac:dyDescent="0.25">
      <c r="A248" s="104">
        <v>41085</v>
      </c>
      <c r="B248" s="113" t="s">
        <v>139</v>
      </c>
      <c r="C248" s="106" t="s">
        <v>341</v>
      </c>
      <c r="D248" s="106"/>
      <c r="E248" s="58"/>
      <c r="F248" s="58"/>
      <c r="G248" s="58"/>
      <c r="H248" s="58"/>
      <c r="I248" s="58"/>
      <c r="J248" s="58"/>
      <c r="K248" s="58"/>
      <c r="L248" s="58"/>
      <c r="M248" s="58"/>
      <c r="N248" s="58">
        <v>1</v>
      </c>
      <c r="O248" s="58"/>
      <c r="P248" s="58"/>
      <c r="Q248" s="58"/>
      <c r="R248" s="58"/>
      <c r="S248" s="58"/>
    </row>
    <row r="249" spans="1:19" ht="15" customHeight="1" x14ac:dyDescent="0.25">
      <c r="A249" s="104">
        <v>41086</v>
      </c>
      <c r="B249" s="113" t="s">
        <v>139</v>
      </c>
      <c r="C249" s="106" t="s">
        <v>342</v>
      </c>
      <c r="D249" s="106"/>
      <c r="E249" s="58"/>
      <c r="F249" s="58"/>
      <c r="G249" s="58"/>
      <c r="H249" s="58"/>
      <c r="I249" s="58"/>
      <c r="J249" s="58"/>
      <c r="K249" s="58"/>
      <c r="L249" s="58"/>
      <c r="M249" s="58"/>
      <c r="N249" s="58">
        <v>1</v>
      </c>
      <c r="O249" s="58"/>
      <c r="P249" s="58"/>
      <c r="Q249" s="58"/>
      <c r="R249" s="58"/>
      <c r="S249" s="58"/>
    </row>
    <row r="250" spans="1:19" ht="15" x14ac:dyDescent="0.25">
      <c r="A250" s="104">
        <v>41087</v>
      </c>
      <c r="B250" s="113" t="s">
        <v>139</v>
      </c>
      <c r="C250" s="106" t="s">
        <v>345</v>
      </c>
      <c r="D250" s="106"/>
      <c r="E250" s="58"/>
      <c r="F250" s="58"/>
      <c r="G250" s="58"/>
      <c r="H250" s="58"/>
      <c r="I250" s="58"/>
      <c r="J250" s="58"/>
      <c r="K250" s="58"/>
      <c r="L250" s="58"/>
      <c r="M250" s="58"/>
      <c r="N250" s="58">
        <v>1</v>
      </c>
      <c r="O250" s="58"/>
      <c r="P250" s="58"/>
      <c r="Q250" s="58"/>
      <c r="R250" s="58"/>
      <c r="S250" s="58"/>
    </row>
    <row r="251" spans="1:19" ht="15" x14ac:dyDescent="0.25">
      <c r="A251" s="111">
        <v>41088</v>
      </c>
      <c r="B251" s="113" t="s">
        <v>139</v>
      </c>
      <c r="C251" s="106" t="s">
        <v>352</v>
      </c>
      <c r="D251" s="106"/>
      <c r="E251" s="58"/>
      <c r="F251" s="58"/>
      <c r="G251" s="58"/>
      <c r="H251" s="58"/>
      <c r="I251" s="58"/>
      <c r="J251" s="58"/>
      <c r="K251" s="58"/>
      <c r="L251" s="58"/>
      <c r="M251" s="58"/>
      <c r="N251" s="58">
        <v>1</v>
      </c>
      <c r="O251" s="58"/>
      <c r="P251" s="58"/>
      <c r="Q251" s="58"/>
      <c r="R251" s="58"/>
      <c r="S251" s="58"/>
    </row>
    <row r="252" spans="1:19" ht="15" x14ac:dyDescent="0.25">
      <c r="A252" s="111">
        <v>41088</v>
      </c>
      <c r="B252" s="113" t="s">
        <v>139</v>
      </c>
      <c r="C252" s="106" t="s">
        <v>348</v>
      </c>
      <c r="D252" s="106"/>
      <c r="E252" s="58"/>
      <c r="F252" s="58"/>
      <c r="G252" s="58"/>
      <c r="H252" s="58"/>
      <c r="I252" s="58"/>
      <c r="J252" s="58"/>
      <c r="K252" s="58"/>
      <c r="L252" s="58"/>
      <c r="M252" s="58"/>
      <c r="N252" s="58">
        <v>1</v>
      </c>
      <c r="O252" s="58"/>
      <c r="P252" s="58"/>
      <c r="Q252" s="58"/>
      <c r="R252" s="58"/>
      <c r="S252" s="58"/>
    </row>
    <row r="253" spans="1:19" ht="15" x14ac:dyDescent="0.25">
      <c r="A253" s="104">
        <v>41119</v>
      </c>
      <c r="B253" s="113" t="s">
        <v>139</v>
      </c>
      <c r="C253" s="106" t="s">
        <v>356</v>
      </c>
      <c r="D253" s="106"/>
      <c r="E253" s="58"/>
      <c r="F253" s="58"/>
      <c r="G253" s="58"/>
      <c r="H253" s="58"/>
      <c r="I253" s="58"/>
      <c r="J253" s="58"/>
      <c r="K253" s="58"/>
      <c r="L253" s="58"/>
      <c r="M253" s="58"/>
      <c r="N253" s="58">
        <v>1</v>
      </c>
      <c r="O253" s="58"/>
      <c r="P253" s="58"/>
      <c r="Q253" s="58"/>
      <c r="R253" s="58"/>
      <c r="S253" s="58"/>
    </row>
    <row r="254" spans="1:19" ht="15" x14ac:dyDescent="0.25">
      <c r="A254" s="104">
        <v>41121</v>
      </c>
      <c r="B254" s="113" t="s">
        <v>139</v>
      </c>
      <c r="C254" s="106" t="s">
        <v>355</v>
      </c>
      <c r="D254" s="106"/>
      <c r="E254" s="58"/>
      <c r="F254" s="58"/>
      <c r="G254" s="58"/>
      <c r="H254" s="58"/>
      <c r="I254" s="58"/>
      <c r="J254" s="58"/>
      <c r="K254" s="58"/>
      <c r="L254" s="58"/>
      <c r="M254" s="58"/>
      <c r="N254" s="58">
        <v>1</v>
      </c>
      <c r="O254" s="58"/>
      <c r="P254" s="58"/>
      <c r="Q254" s="58"/>
      <c r="R254" s="58"/>
      <c r="S254" s="58"/>
    </row>
    <row r="255" spans="1:19" ht="15" x14ac:dyDescent="0.25">
      <c r="A255" s="104">
        <v>41153</v>
      </c>
      <c r="B255" s="110" t="s">
        <v>139</v>
      </c>
      <c r="C255" s="106" t="s">
        <v>357</v>
      </c>
      <c r="D255" s="106"/>
      <c r="E255" s="58"/>
      <c r="F255" s="58"/>
      <c r="G255" s="58"/>
      <c r="H255" s="58"/>
      <c r="I255" s="58"/>
      <c r="J255" s="58"/>
      <c r="K255" s="58"/>
      <c r="L255" s="58"/>
      <c r="M255" s="58"/>
      <c r="N255" s="58">
        <v>1</v>
      </c>
      <c r="O255" s="58"/>
      <c r="P255" s="58"/>
      <c r="Q255" s="58"/>
      <c r="R255" s="58"/>
      <c r="S255" s="58"/>
    </row>
    <row r="256" spans="1:19" ht="15" x14ac:dyDescent="0.25">
      <c r="A256" s="104">
        <v>41154</v>
      </c>
      <c r="B256" s="110" t="s">
        <v>139</v>
      </c>
      <c r="C256" s="106" t="s">
        <v>357</v>
      </c>
      <c r="D256" s="106"/>
      <c r="E256" s="58"/>
      <c r="F256" s="58"/>
      <c r="G256" s="58"/>
      <c r="H256" s="58"/>
      <c r="I256" s="58"/>
      <c r="J256" s="58"/>
      <c r="K256" s="58"/>
      <c r="L256" s="58"/>
      <c r="M256" s="58"/>
      <c r="N256" s="58">
        <v>1</v>
      </c>
      <c r="O256" s="58"/>
      <c r="P256" s="58"/>
      <c r="Q256" s="58"/>
      <c r="R256" s="58"/>
      <c r="S256" s="58"/>
    </row>
    <row r="257" spans="1:19" ht="15" x14ac:dyDescent="0.25">
      <c r="A257" s="104">
        <v>41155</v>
      </c>
      <c r="B257" s="110" t="s">
        <v>139</v>
      </c>
      <c r="C257" s="106" t="s">
        <v>357</v>
      </c>
      <c r="D257" s="106"/>
      <c r="E257" s="58"/>
      <c r="F257" s="58"/>
      <c r="G257" s="58"/>
      <c r="H257" s="58"/>
      <c r="I257" s="58"/>
      <c r="J257" s="58"/>
      <c r="K257" s="58"/>
      <c r="L257" s="58"/>
      <c r="M257" s="58"/>
      <c r="N257" s="58">
        <v>1</v>
      </c>
      <c r="O257" s="58"/>
      <c r="P257" s="58"/>
      <c r="Q257" s="58"/>
      <c r="R257" s="58"/>
      <c r="S257" s="58"/>
    </row>
    <row r="258" spans="1:19" ht="15" x14ac:dyDescent="0.25">
      <c r="A258" s="104">
        <v>41156</v>
      </c>
      <c r="B258" s="110" t="s">
        <v>139</v>
      </c>
      <c r="C258" s="106" t="s">
        <v>357</v>
      </c>
      <c r="D258" s="106"/>
      <c r="E258" s="58"/>
      <c r="F258" s="58"/>
      <c r="G258" s="58"/>
      <c r="H258" s="58"/>
      <c r="I258" s="58"/>
      <c r="J258" s="58"/>
      <c r="K258" s="58"/>
      <c r="L258" s="58"/>
      <c r="M258" s="58"/>
      <c r="N258" s="58">
        <v>1</v>
      </c>
      <c r="O258" s="58"/>
      <c r="P258" s="58"/>
      <c r="Q258" s="58"/>
      <c r="R258" s="58"/>
      <c r="S258" s="58"/>
    </row>
    <row r="259" spans="1:19" ht="15" x14ac:dyDescent="0.25">
      <c r="A259" s="104">
        <v>41157</v>
      </c>
      <c r="B259" s="110" t="s">
        <v>139</v>
      </c>
      <c r="C259" s="106" t="s">
        <v>357</v>
      </c>
      <c r="D259" s="106"/>
      <c r="E259" s="58"/>
      <c r="F259" s="58"/>
      <c r="G259" s="58"/>
      <c r="H259" s="58"/>
      <c r="I259" s="58"/>
      <c r="J259" s="58"/>
      <c r="K259" s="58"/>
      <c r="L259" s="58"/>
      <c r="M259" s="58"/>
      <c r="N259" s="58">
        <v>1</v>
      </c>
      <c r="O259" s="58"/>
      <c r="P259" s="58"/>
      <c r="Q259" s="58"/>
      <c r="R259" s="58"/>
      <c r="S259" s="58"/>
    </row>
    <row r="260" spans="1:19" ht="15" x14ac:dyDescent="0.25">
      <c r="A260" s="104">
        <v>41158</v>
      </c>
      <c r="B260" s="110" t="s">
        <v>139</v>
      </c>
      <c r="C260" s="106" t="s">
        <v>357</v>
      </c>
      <c r="D260" s="106"/>
      <c r="E260" s="58"/>
      <c r="F260" s="58"/>
      <c r="G260" s="58"/>
      <c r="H260" s="58"/>
      <c r="I260" s="58"/>
      <c r="J260" s="58"/>
      <c r="K260" s="58"/>
      <c r="L260" s="58"/>
      <c r="M260" s="58"/>
      <c r="N260" s="58">
        <v>1</v>
      </c>
      <c r="O260" s="58"/>
      <c r="P260" s="58"/>
      <c r="Q260" s="58"/>
      <c r="R260" s="58"/>
      <c r="S260" s="58"/>
    </row>
    <row r="261" spans="1:19" ht="15" x14ac:dyDescent="0.25">
      <c r="A261" s="104">
        <v>41159</v>
      </c>
      <c r="B261" s="110" t="s">
        <v>139</v>
      </c>
      <c r="C261" s="106" t="s">
        <v>357</v>
      </c>
      <c r="D261" s="106"/>
      <c r="E261" s="58"/>
      <c r="F261" s="58"/>
      <c r="G261" s="58"/>
      <c r="H261" s="58"/>
      <c r="I261" s="58"/>
      <c r="J261" s="58"/>
      <c r="K261" s="58"/>
      <c r="L261" s="58"/>
      <c r="M261" s="58"/>
      <c r="N261" s="58">
        <v>1</v>
      </c>
      <c r="O261" s="58"/>
      <c r="P261" s="58"/>
      <c r="Q261" s="58"/>
      <c r="R261" s="58"/>
      <c r="S261" s="58"/>
    </row>
    <row r="262" spans="1:19" ht="15" x14ac:dyDescent="0.25">
      <c r="A262" s="104">
        <v>41160</v>
      </c>
      <c r="B262" s="110" t="s">
        <v>139</v>
      </c>
      <c r="C262" s="106" t="s">
        <v>357</v>
      </c>
      <c r="D262" s="106"/>
      <c r="E262" s="58"/>
      <c r="F262" s="58"/>
      <c r="G262" s="58"/>
      <c r="H262" s="58"/>
      <c r="I262" s="58"/>
      <c r="J262" s="58"/>
      <c r="K262" s="58"/>
      <c r="L262" s="58"/>
      <c r="M262" s="58"/>
      <c r="N262" s="58">
        <v>1</v>
      </c>
      <c r="O262" s="58"/>
      <c r="P262" s="58"/>
      <c r="Q262" s="58"/>
      <c r="R262" s="58"/>
      <c r="S262" s="58"/>
    </row>
    <row r="263" spans="1:19" ht="15" x14ac:dyDescent="0.25">
      <c r="A263" s="104">
        <v>41180</v>
      </c>
      <c r="B263" s="105"/>
      <c r="C263" s="106" t="s">
        <v>360</v>
      </c>
      <c r="D263" s="106"/>
      <c r="E263" s="58"/>
      <c r="F263" s="58"/>
      <c r="G263" s="58"/>
      <c r="H263" s="58"/>
      <c r="I263" s="58"/>
      <c r="J263" s="58"/>
      <c r="K263" s="58"/>
      <c r="L263" s="58"/>
      <c r="M263" s="58"/>
      <c r="N263" s="58">
        <v>1</v>
      </c>
      <c r="O263" s="58"/>
      <c r="P263" s="58"/>
      <c r="Q263" s="58"/>
      <c r="R263" s="58"/>
      <c r="S263" s="58"/>
    </row>
    <row r="264" spans="1:19" ht="15" x14ac:dyDescent="0.25">
      <c r="A264" s="111">
        <v>41182</v>
      </c>
      <c r="B264" s="113" t="s">
        <v>139</v>
      </c>
      <c r="C264" s="106" t="s">
        <v>362</v>
      </c>
      <c r="D264" s="106"/>
      <c r="E264" s="58"/>
      <c r="F264" s="58"/>
      <c r="G264" s="58"/>
      <c r="H264" s="58"/>
      <c r="I264" s="58"/>
      <c r="J264" s="58"/>
      <c r="K264" s="58"/>
      <c r="L264" s="58"/>
      <c r="M264" s="58"/>
      <c r="N264" s="58">
        <v>1</v>
      </c>
      <c r="O264" s="58"/>
      <c r="P264" s="58"/>
      <c r="Q264" s="58"/>
      <c r="R264" s="58"/>
      <c r="S264" s="58"/>
    </row>
    <row r="265" spans="1:19" ht="15" x14ac:dyDescent="0.25">
      <c r="A265" s="111">
        <v>41182</v>
      </c>
      <c r="B265" s="113" t="s">
        <v>139</v>
      </c>
      <c r="C265" s="106" t="s">
        <v>364</v>
      </c>
      <c r="D265" s="106"/>
      <c r="E265" s="58"/>
      <c r="F265" s="58"/>
      <c r="G265" s="58"/>
      <c r="H265" s="58"/>
      <c r="I265" s="58"/>
      <c r="J265" s="58"/>
      <c r="K265" s="58"/>
      <c r="L265" s="58"/>
      <c r="M265" s="58"/>
      <c r="N265" s="58">
        <v>1</v>
      </c>
      <c r="O265" s="58"/>
      <c r="P265" s="58"/>
      <c r="Q265" s="58"/>
      <c r="R265" s="58"/>
      <c r="S265" s="58"/>
    </row>
    <row r="266" spans="1:19" ht="15" x14ac:dyDescent="0.25">
      <c r="A266" s="104">
        <v>41189</v>
      </c>
      <c r="B266" s="113" t="s">
        <v>139</v>
      </c>
      <c r="C266" s="106" t="s">
        <v>365</v>
      </c>
      <c r="D266" s="106"/>
      <c r="E266" s="58"/>
      <c r="F266" s="58"/>
      <c r="G266" s="58"/>
      <c r="H266" s="58"/>
      <c r="I266" s="58"/>
      <c r="J266" s="58"/>
      <c r="K266" s="58"/>
      <c r="L266" s="58"/>
      <c r="M266" s="58"/>
      <c r="N266" s="58">
        <v>1</v>
      </c>
      <c r="O266" s="58"/>
      <c r="P266" s="58"/>
      <c r="Q266" s="58"/>
      <c r="R266" s="58"/>
      <c r="S266" s="58"/>
    </row>
    <row r="267" spans="1:19" ht="15" x14ac:dyDescent="0.25">
      <c r="A267" s="104">
        <v>41202</v>
      </c>
      <c r="B267" s="110" t="s">
        <v>139</v>
      </c>
      <c r="C267" s="106" t="s">
        <v>364</v>
      </c>
      <c r="D267" s="106"/>
      <c r="E267" s="58"/>
      <c r="F267" s="58"/>
      <c r="G267" s="58"/>
      <c r="H267" s="58"/>
      <c r="I267" s="58"/>
      <c r="J267" s="58"/>
      <c r="K267" s="58"/>
      <c r="L267" s="58"/>
      <c r="M267" s="58"/>
      <c r="N267" s="58">
        <v>1</v>
      </c>
      <c r="O267" s="58"/>
      <c r="P267" s="58"/>
      <c r="Q267" s="58"/>
      <c r="R267" s="58"/>
      <c r="S267" s="58"/>
    </row>
    <row r="268" spans="1:19" ht="15" x14ac:dyDescent="0.25">
      <c r="A268" s="111">
        <v>41209</v>
      </c>
      <c r="B268" s="113" t="s">
        <v>139</v>
      </c>
      <c r="C268" s="114" t="s">
        <v>210</v>
      </c>
      <c r="D268" s="114"/>
      <c r="E268" s="58"/>
      <c r="F268" s="58"/>
      <c r="G268" s="58"/>
      <c r="H268" s="58"/>
      <c r="I268" s="58"/>
      <c r="J268" s="58"/>
      <c r="K268" s="58"/>
      <c r="L268" s="58"/>
      <c r="M268" s="58"/>
      <c r="N268" s="58">
        <v>1</v>
      </c>
      <c r="O268" s="58"/>
      <c r="P268" s="58"/>
      <c r="Q268" s="58"/>
      <c r="R268" s="58"/>
      <c r="S268" s="58"/>
    </row>
    <row r="269" spans="1:19" ht="15" x14ac:dyDescent="0.25">
      <c r="A269" s="111">
        <v>41209</v>
      </c>
      <c r="B269" s="113" t="s">
        <v>139</v>
      </c>
      <c r="C269" s="114" t="s">
        <v>210</v>
      </c>
      <c r="D269" s="114"/>
      <c r="E269" s="58"/>
      <c r="F269" s="58"/>
      <c r="G269" s="58"/>
      <c r="H269" s="58"/>
      <c r="I269" s="58"/>
      <c r="J269" s="58"/>
      <c r="K269" s="58"/>
      <c r="L269" s="58"/>
      <c r="M269" s="58"/>
      <c r="N269" s="58">
        <v>1</v>
      </c>
      <c r="O269" s="58"/>
      <c r="P269" s="58"/>
      <c r="Q269" s="58"/>
      <c r="R269" s="58"/>
      <c r="S269" s="58"/>
    </row>
    <row r="270" spans="1:19" ht="15" x14ac:dyDescent="0.25">
      <c r="A270" s="111">
        <v>41211</v>
      </c>
      <c r="B270" s="113" t="s">
        <v>139</v>
      </c>
      <c r="C270" s="114" t="s">
        <v>210</v>
      </c>
      <c r="D270" s="114"/>
      <c r="E270" s="58"/>
      <c r="F270" s="58"/>
      <c r="G270" s="58"/>
      <c r="H270" s="58"/>
      <c r="I270" s="58"/>
      <c r="J270" s="58"/>
      <c r="K270" s="58"/>
      <c r="L270" s="58"/>
      <c r="M270" s="58"/>
      <c r="N270" s="58">
        <v>1</v>
      </c>
      <c r="O270" s="58"/>
      <c r="P270" s="58"/>
      <c r="Q270" s="58"/>
      <c r="R270" s="58"/>
      <c r="S270" s="58"/>
    </row>
    <row r="271" spans="1:19" ht="15" x14ac:dyDescent="0.25">
      <c r="A271" s="111">
        <v>41211</v>
      </c>
      <c r="B271" s="113" t="s">
        <v>139</v>
      </c>
      <c r="C271" s="114" t="s">
        <v>210</v>
      </c>
      <c r="D271" s="114"/>
      <c r="E271" s="58"/>
      <c r="F271" s="58"/>
      <c r="G271" s="58"/>
      <c r="H271" s="58"/>
      <c r="I271" s="58"/>
      <c r="J271" s="58"/>
      <c r="K271" s="58"/>
      <c r="L271" s="58"/>
      <c r="M271" s="58"/>
      <c r="N271" s="58">
        <v>1</v>
      </c>
      <c r="O271" s="58"/>
      <c r="P271" s="58"/>
      <c r="Q271" s="58"/>
      <c r="R271" s="58"/>
      <c r="S271" s="58"/>
    </row>
    <row r="272" spans="1:19" ht="15" x14ac:dyDescent="0.25">
      <c r="A272" s="111">
        <v>41212</v>
      </c>
      <c r="B272" s="113" t="s">
        <v>139</v>
      </c>
      <c r="C272" s="114" t="s">
        <v>210</v>
      </c>
      <c r="D272" s="114"/>
      <c r="E272" s="58"/>
      <c r="F272" s="58"/>
      <c r="G272" s="58"/>
      <c r="H272" s="58"/>
      <c r="I272" s="58"/>
      <c r="J272" s="58"/>
      <c r="K272" s="58"/>
      <c r="L272" s="58"/>
      <c r="M272" s="58"/>
      <c r="N272" s="58">
        <v>1</v>
      </c>
      <c r="O272" s="58"/>
      <c r="P272" s="58"/>
      <c r="Q272" s="58"/>
      <c r="R272" s="58"/>
      <c r="S272" s="58"/>
    </row>
    <row r="273" spans="1:19" ht="15" x14ac:dyDescent="0.25">
      <c r="A273" s="111">
        <v>41212</v>
      </c>
      <c r="B273" s="113" t="s">
        <v>139</v>
      </c>
      <c r="C273" s="114" t="s">
        <v>210</v>
      </c>
      <c r="D273" s="114"/>
      <c r="E273" s="58"/>
      <c r="F273" s="58"/>
      <c r="G273" s="58"/>
      <c r="H273" s="58"/>
      <c r="I273" s="58"/>
      <c r="J273" s="58"/>
      <c r="K273" s="58"/>
      <c r="L273" s="58"/>
      <c r="M273" s="58"/>
      <c r="N273" s="58">
        <v>1</v>
      </c>
      <c r="O273" s="58"/>
      <c r="P273" s="58"/>
      <c r="Q273" s="58"/>
      <c r="R273" s="58"/>
      <c r="S273" s="58"/>
    </row>
    <row r="274" spans="1:19" ht="15" x14ac:dyDescent="0.25">
      <c r="A274" s="111">
        <v>41213</v>
      </c>
      <c r="B274" s="113" t="s">
        <v>139</v>
      </c>
      <c r="C274" s="114" t="s">
        <v>210</v>
      </c>
      <c r="D274" s="114"/>
      <c r="E274" s="58"/>
      <c r="F274" s="58"/>
      <c r="G274" s="58"/>
      <c r="H274" s="58"/>
      <c r="I274" s="58"/>
      <c r="J274" s="58"/>
      <c r="K274" s="58"/>
      <c r="L274" s="58"/>
      <c r="M274" s="58"/>
      <c r="N274" s="58">
        <v>1</v>
      </c>
      <c r="O274" s="58"/>
      <c r="P274" s="58"/>
      <c r="Q274" s="58"/>
      <c r="R274" s="58"/>
      <c r="S274" s="58"/>
    </row>
    <row r="275" spans="1:19" ht="15" x14ac:dyDescent="0.25">
      <c r="A275" s="111">
        <v>41213</v>
      </c>
      <c r="B275" s="113" t="s">
        <v>139</v>
      </c>
      <c r="C275" s="114" t="s">
        <v>210</v>
      </c>
      <c r="D275" s="114"/>
      <c r="E275" s="58"/>
      <c r="F275" s="58"/>
      <c r="G275" s="58"/>
      <c r="H275" s="58"/>
      <c r="I275" s="58"/>
      <c r="J275" s="58"/>
      <c r="K275" s="58"/>
      <c r="L275" s="58"/>
      <c r="M275" s="58"/>
      <c r="N275" s="58">
        <v>1</v>
      </c>
      <c r="O275" s="58"/>
      <c r="P275" s="58"/>
      <c r="Q275" s="58"/>
      <c r="R275" s="58"/>
      <c r="S275" s="58"/>
    </row>
    <row r="276" spans="1:19" ht="15" x14ac:dyDescent="0.25">
      <c r="A276" s="111">
        <v>41214</v>
      </c>
      <c r="B276" s="113" t="s">
        <v>139</v>
      </c>
      <c r="C276" s="114" t="s">
        <v>210</v>
      </c>
      <c r="D276" s="114"/>
      <c r="E276" s="58"/>
      <c r="F276" s="58"/>
      <c r="G276" s="58"/>
      <c r="H276" s="58"/>
      <c r="I276" s="58"/>
      <c r="J276" s="58"/>
      <c r="K276" s="58"/>
      <c r="L276" s="58"/>
      <c r="M276" s="58"/>
      <c r="N276" s="58">
        <v>1</v>
      </c>
      <c r="O276" s="58"/>
      <c r="P276" s="58"/>
      <c r="Q276" s="58"/>
      <c r="R276" s="58"/>
      <c r="S276" s="58"/>
    </row>
    <row r="277" spans="1:19" ht="15" x14ac:dyDescent="0.25">
      <c r="A277" s="111">
        <v>41214</v>
      </c>
      <c r="B277" s="113" t="s">
        <v>139</v>
      </c>
      <c r="C277" s="114" t="s">
        <v>210</v>
      </c>
      <c r="D277" s="114"/>
      <c r="E277" s="58"/>
      <c r="F277" s="58"/>
      <c r="G277" s="58"/>
      <c r="H277" s="58"/>
      <c r="I277" s="58"/>
      <c r="J277" s="58"/>
      <c r="K277" s="58"/>
      <c r="L277" s="58"/>
      <c r="M277" s="58"/>
      <c r="N277" s="58">
        <v>1</v>
      </c>
      <c r="O277" s="58"/>
      <c r="P277" s="58"/>
      <c r="Q277" s="58"/>
      <c r="R277" s="58"/>
      <c r="S277" s="58"/>
    </row>
    <row r="278" spans="1:19" ht="15" x14ac:dyDescent="0.25">
      <c r="A278" s="111">
        <v>41215</v>
      </c>
      <c r="B278" s="113" t="s">
        <v>139</v>
      </c>
      <c r="C278" s="114" t="s">
        <v>210</v>
      </c>
      <c r="D278" s="114"/>
      <c r="E278" s="58"/>
      <c r="F278" s="58"/>
      <c r="G278" s="58"/>
      <c r="H278" s="58"/>
      <c r="I278" s="58"/>
      <c r="J278" s="58"/>
      <c r="K278" s="58"/>
      <c r="L278" s="58"/>
      <c r="M278" s="58"/>
      <c r="N278" s="58">
        <v>1</v>
      </c>
      <c r="O278" s="58"/>
      <c r="P278" s="58"/>
      <c r="Q278" s="58"/>
      <c r="R278" s="58"/>
      <c r="S278" s="58"/>
    </row>
    <row r="279" spans="1:19" ht="15" x14ac:dyDescent="0.25">
      <c r="A279" s="111">
        <v>41215</v>
      </c>
      <c r="B279" s="113" t="s">
        <v>139</v>
      </c>
      <c r="C279" s="114" t="s">
        <v>210</v>
      </c>
      <c r="D279" s="114"/>
      <c r="E279" s="58"/>
      <c r="F279" s="58"/>
      <c r="G279" s="58"/>
      <c r="H279" s="58"/>
      <c r="I279" s="58"/>
      <c r="J279" s="58"/>
      <c r="K279" s="58"/>
      <c r="L279" s="58"/>
      <c r="M279" s="58"/>
      <c r="N279" s="58">
        <v>1</v>
      </c>
      <c r="O279" s="58"/>
      <c r="P279" s="58"/>
      <c r="Q279" s="58"/>
      <c r="R279" s="58"/>
      <c r="S279" s="58"/>
    </row>
    <row r="280" spans="1:19" ht="15" x14ac:dyDescent="0.25">
      <c r="A280" s="104">
        <v>41223</v>
      </c>
      <c r="B280" s="105"/>
      <c r="C280" s="106" t="s">
        <v>371</v>
      </c>
      <c r="D280" s="106"/>
      <c r="E280" s="58"/>
      <c r="F280" s="58"/>
      <c r="G280" s="58"/>
      <c r="H280" s="58"/>
      <c r="I280" s="58"/>
      <c r="J280" s="58"/>
      <c r="K280" s="58"/>
      <c r="L280" s="58"/>
      <c r="M280" s="58"/>
      <c r="N280" s="58">
        <v>1</v>
      </c>
      <c r="O280" s="58"/>
      <c r="P280" s="58"/>
      <c r="Q280" s="58"/>
      <c r="R280" s="58"/>
      <c r="S280" s="58"/>
    </row>
    <row r="281" spans="1:19" ht="15" x14ac:dyDescent="0.25">
      <c r="A281" s="104">
        <v>41241</v>
      </c>
      <c r="B281" s="113" t="s">
        <v>139</v>
      </c>
      <c r="C281" s="106" t="s">
        <v>372</v>
      </c>
      <c r="D281" s="106"/>
      <c r="E281" s="58"/>
      <c r="F281" s="58"/>
      <c r="G281" s="58"/>
      <c r="H281" s="58"/>
      <c r="I281" s="58"/>
      <c r="J281" s="58"/>
      <c r="K281" s="58"/>
      <c r="L281" s="58"/>
      <c r="M281" s="58"/>
      <c r="N281" s="58">
        <v>1</v>
      </c>
      <c r="O281" s="58"/>
      <c r="P281" s="58"/>
      <c r="Q281" s="58"/>
      <c r="R281" s="58"/>
      <c r="S281" s="58"/>
    </row>
    <row r="282" spans="1:19" ht="15" x14ac:dyDescent="0.25"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</row>
    <row r="283" spans="1:19" ht="15" x14ac:dyDescent="0.25">
      <c r="A283" s="115">
        <v>41349</v>
      </c>
      <c r="B283" s="116"/>
      <c r="C283" s="117" t="s">
        <v>374</v>
      </c>
      <c r="D283" s="117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>
        <v>1</v>
      </c>
      <c r="P283" s="58"/>
      <c r="Q283" s="58"/>
      <c r="R283" s="58"/>
      <c r="S283" s="58"/>
    </row>
    <row r="284" spans="1:19" ht="15" x14ac:dyDescent="0.25">
      <c r="A284" s="115">
        <v>41350</v>
      </c>
      <c r="B284" s="118" t="s">
        <v>139</v>
      </c>
      <c r="C284" s="117" t="s">
        <v>376</v>
      </c>
      <c r="D284" s="117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>
        <v>1</v>
      </c>
      <c r="P284" s="58"/>
      <c r="Q284" s="58"/>
      <c r="R284" s="58"/>
      <c r="S284" s="58"/>
    </row>
    <row r="285" spans="1:19" ht="15" x14ac:dyDescent="0.25">
      <c r="A285" s="115">
        <v>41357</v>
      </c>
      <c r="B285" s="118" t="s">
        <v>139</v>
      </c>
      <c r="C285" s="117" t="s">
        <v>379</v>
      </c>
      <c r="D285" s="117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>
        <v>1</v>
      </c>
      <c r="P285" s="58"/>
      <c r="Q285" s="58"/>
      <c r="R285" s="58"/>
      <c r="S285" s="58"/>
    </row>
    <row r="286" spans="1:19" ht="15" x14ac:dyDescent="0.25">
      <c r="A286" s="115">
        <v>41384</v>
      </c>
      <c r="B286" s="118" t="s">
        <v>139</v>
      </c>
      <c r="C286" s="117" t="s">
        <v>380</v>
      </c>
      <c r="D286" s="117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>
        <v>1</v>
      </c>
      <c r="P286" s="58"/>
      <c r="Q286" s="58"/>
      <c r="R286" s="58"/>
      <c r="S286" s="58"/>
    </row>
    <row r="287" spans="1:19" ht="15" x14ac:dyDescent="0.25">
      <c r="A287" s="115">
        <v>41395</v>
      </c>
      <c r="B287" s="118" t="s">
        <v>139</v>
      </c>
      <c r="C287" s="117" t="s">
        <v>382</v>
      </c>
      <c r="D287" s="117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>
        <v>1</v>
      </c>
      <c r="P287" s="58"/>
      <c r="Q287" s="58"/>
      <c r="R287" s="58"/>
      <c r="S287" s="58"/>
    </row>
    <row r="288" spans="1:19" ht="15" x14ac:dyDescent="0.25">
      <c r="A288" s="115">
        <v>41412</v>
      </c>
      <c r="B288" s="118" t="s">
        <v>139</v>
      </c>
      <c r="C288" s="117" t="s">
        <v>384</v>
      </c>
      <c r="D288" s="117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>
        <v>1</v>
      </c>
      <c r="P288" s="58"/>
      <c r="Q288" s="58"/>
      <c r="R288" s="58"/>
      <c r="S288" s="58"/>
    </row>
    <row r="289" spans="1:19" ht="15" x14ac:dyDescent="0.25">
      <c r="A289" s="115">
        <v>41418</v>
      </c>
      <c r="B289" s="118" t="s">
        <v>139</v>
      </c>
      <c r="C289" s="117" t="s">
        <v>176</v>
      </c>
      <c r="D289" s="117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>
        <v>1</v>
      </c>
      <c r="P289" s="58"/>
      <c r="Q289" s="58"/>
      <c r="R289" s="58"/>
      <c r="S289" s="58"/>
    </row>
    <row r="290" spans="1:19" ht="15" x14ac:dyDescent="0.25">
      <c r="A290" s="115">
        <v>41420</v>
      </c>
      <c r="B290" s="118" t="s">
        <v>139</v>
      </c>
      <c r="C290" s="117" t="s">
        <v>387</v>
      </c>
      <c r="D290" s="117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>
        <v>1</v>
      </c>
      <c r="P290" s="58"/>
      <c r="Q290" s="58"/>
      <c r="R290" s="58"/>
      <c r="S290" s="58"/>
    </row>
    <row r="291" spans="1:19" ht="15" x14ac:dyDescent="0.25">
      <c r="A291" s="115">
        <v>41429</v>
      </c>
      <c r="B291" s="116"/>
      <c r="C291" s="117" t="s">
        <v>389</v>
      </c>
      <c r="D291" s="117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>
        <v>1</v>
      </c>
      <c r="P291" s="58"/>
      <c r="Q291" s="58"/>
      <c r="R291" s="58"/>
      <c r="S291" s="58"/>
    </row>
    <row r="292" spans="1:19" ht="15" x14ac:dyDescent="0.25">
      <c r="A292" s="119">
        <v>41430</v>
      </c>
      <c r="B292" s="118" t="s">
        <v>139</v>
      </c>
      <c r="C292" s="117" t="s">
        <v>391</v>
      </c>
      <c r="D292" s="117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>
        <v>1</v>
      </c>
      <c r="P292" s="58"/>
      <c r="Q292" s="58"/>
      <c r="R292" s="58"/>
      <c r="S292" s="58"/>
    </row>
    <row r="293" spans="1:19" ht="15" x14ac:dyDescent="0.25">
      <c r="A293" s="119">
        <v>41442</v>
      </c>
      <c r="B293" s="118" t="s">
        <v>139</v>
      </c>
      <c r="C293" s="117" t="s">
        <v>392</v>
      </c>
      <c r="D293" s="117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>
        <v>1</v>
      </c>
      <c r="P293" s="58"/>
      <c r="Q293" s="58"/>
      <c r="R293" s="58"/>
      <c r="S293" s="58"/>
    </row>
    <row r="294" spans="1:19" ht="15" x14ac:dyDescent="0.25">
      <c r="A294" s="119">
        <v>41445</v>
      </c>
      <c r="B294" s="118" t="s">
        <v>244</v>
      </c>
      <c r="C294" s="117" t="s">
        <v>185</v>
      </c>
      <c r="D294" s="117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>
        <v>1</v>
      </c>
      <c r="P294" s="58"/>
      <c r="Q294" s="58"/>
      <c r="R294" s="58"/>
      <c r="S294" s="58"/>
    </row>
    <row r="295" spans="1:19" ht="15" x14ac:dyDescent="0.25">
      <c r="A295" s="119">
        <v>41448</v>
      </c>
      <c r="B295" s="118" t="s">
        <v>244</v>
      </c>
      <c r="C295" s="117" t="s">
        <v>394</v>
      </c>
      <c r="D295" s="117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>
        <v>1</v>
      </c>
      <c r="P295" s="58"/>
      <c r="Q295" s="58"/>
      <c r="R295" s="58"/>
      <c r="S295" s="58"/>
    </row>
    <row r="296" spans="1:19" ht="15" x14ac:dyDescent="0.25">
      <c r="A296" s="119">
        <v>41448</v>
      </c>
      <c r="B296" s="118" t="s">
        <v>244</v>
      </c>
      <c r="C296" s="117" t="s">
        <v>395</v>
      </c>
      <c r="D296" s="117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>
        <v>1</v>
      </c>
      <c r="P296" s="58"/>
      <c r="Q296" s="58"/>
      <c r="R296" s="58"/>
      <c r="S296" s="58"/>
    </row>
    <row r="297" spans="1:19" ht="15" x14ac:dyDescent="0.25">
      <c r="A297" s="119">
        <v>41489</v>
      </c>
      <c r="B297" s="118" t="s">
        <v>244</v>
      </c>
      <c r="C297" s="117" t="s">
        <v>398</v>
      </c>
      <c r="D297" s="117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>
        <v>1</v>
      </c>
      <c r="P297" s="58"/>
      <c r="Q297" s="58"/>
      <c r="R297" s="58"/>
      <c r="S297" s="58"/>
    </row>
    <row r="298" spans="1:19" ht="15" x14ac:dyDescent="0.25">
      <c r="A298" s="119">
        <v>41490</v>
      </c>
      <c r="B298" s="118" t="s">
        <v>244</v>
      </c>
      <c r="C298" s="117" t="s">
        <v>398</v>
      </c>
      <c r="D298" s="117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>
        <v>1</v>
      </c>
      <c r="P298" s="58"/>
      <c r="Q298" s="58"/>
      <c r="R298" s="58"/>
      <c r="S298" s="58"/>
    </row>
    <row r="299" spans="1:19" ht="15" x14ac:dyDescent="0.25">
      <c r="A299" s="119">
        <v>41491</v>
      </c>
      <c r="B299" s="118" t="s">
        <v>244</v>
      </c>
      <c r="C299" s="117" t="s">
        <v>398</v>
      </c>
      <c r="D299" s="117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>
        <v>1</v>
      </c>
      <c r="P299" s="58"/>
      <c r="Q299" s="58"/>
      <c r="R299" s="58"/>
      <c r="S299" s="58"/>
    </row>
    <row r="300" spans="1:19" ht="15" x14ac:dyDescent="0.25">
      <c r="A300" s="119">
        <v>41492</v>
      </c>
      <c r="B300" s="118" t="s">
        <v>244</v>
      </c>
      <c r="C300" s="117" t="s">
        <v>398</v>
      </c>
      <c r="D300" s="117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>
        <v>1</v>
      </c>
      <c r="P300" s="58"/>
      <c r="Q300" s="58"/>
      <c r="R300" s="58"/>
      <c r="S300" s="58"/>
    </row>
    <row r="301" spans="1:19" ht="15" x14ac:dyDescent="0.25">
      <c r="A301" s="119">
        <v>41494</v>
      </c>
      <c r="B301" s="118" t="s">
        <v>244</v>
      </c>
      <c r="C301" s="117" t="s">
        <v>398</v>
      </c>
      <c r="D301" s="117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>
        <v>1</v>
      </c>
      <c r="P301" s="58"/>
      <c r="Q301" s="58"/>
      <c r="R301" s="58"/>
      <c r="S301" s="58"/>
    </row>
    <row r="302" spans="1:19" ht="15" x14ac:dyDescent="0.25">
      <c r="A302" s="119">
        <v>41495</v>
      </c>
      <c r="B302" s="118" t="s">
        <v>244</v>
      </c>
      <c r="C302" s="117" t="s">
        <v>398</v>
      </c>
      <c r="D302" s="117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>
        <v>1</v>
      </c>
      <c r="P302" s="58"/>
      <c r="Q302" s="58"/>
      <c r="R302" s="58"/>
      <c r="S302" s="58"/>
    </row>
    <row r="303" spans="1:19" ht="15" x14ac:dyDescent="0.25">
      <c r="A303" s="119">
        <v>41496</v>
      </c>
      <c r="B303" s="118" t="s">
        <v>244</v>
      </c>
      <c r="C303" s="117" t="s">
        <v>398</v>
      </c>
      <c r="D303" s="117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>
        <v>1</v>
      </c>
      <c r="P303" s="58"/>
      <c r="Q303" s="58"/>
      <c r="R303" s="58"/>
      <c r="S303" s="58"/>
    </row>
    <row r="304" spans="1:19" ht="15" x14ac:dyDescent="0.25">
      <c r="A304" s="119">
        <v>41497</v>
      </c>
      <c r="B304" s="118" t="s">
        <v>244</v>
      </c>
      <c r="C304" s="117" t="s">
        <v>398</v>
      </c>
      <c r="D304" s="117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>
        <v>1</v>
      </c>
      <c r="P304" s="58"/>
      <c r="Q304" s="58"/>
      <c r="R304" s="58"/>
      <c r="S304" s="58"/>
    </row>
    <row r="305" spans="1:19" ht="15" x14ac:dyDescent="0.25">
      <c r="A305" s="119">
        <v>41497</v>
      </c>
      <c r="B305" s="118" t="s">
        <v>244</v>
      </c>
      <c r="C305" s="117" t="s">
        <v>398</v>
      </c>
      <c r="D305" s="117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>
        <v>1</v>
      </c>
      <c r="P305" s="58"/>
      <c r="Q305" s="58"/>
      <c r="R305" s="58"/>
      <c r="S305" s="58"/>
    </row>
    <row r="306" spans="1:19" ht="15" x14ac:dyDescent="0.25">
      <c r="A306" s="119">
        <v>41516</v>
      </c>
      <c r="B306" s="120"/>
      <c r="C306" s="117" t="s">
        <v>407</v>
      </c>
      <c r="D306" s="117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>
        <v>1</v>
      </c>
      <c r="P306" s="58"/>
      <c r="Q306" s="58"/>
      <c r="R306" s="58"/>
      <c r="S306" s="58"/>
    </row>
    <row r="307" spans="1:19" ht="15" x14ac:dyDescent="0.25">
      <c r="A307" s="119">
        <v>41523</v>
      </c>
      <c r="B307" s="120"/>
      <c r="C307" s="117" t="s">
        <v>409</v>
      </c>
      <c r="D307" s="117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>
        <v>1</v>
      </c>
      <c r="P307" s="58"/>
      <c r="Q307" s="58"/>
      <c r="R307" s="58"/>
      <c r="S307" s="58"/>
    </row>
    <row r="308" spans="1:19" ht="15" x14ac:dyDescent="0.25">
      <c r="A308" s="119">
        <v>41533</v>
      </c>
      <c r="B308" s="120"/>
      <c r="C308" s="117" t="s">
        <v>411</v>
      </c>
      <c r="D308" s="117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>
        <v>1</v>
      </c>
      <c r="P308" s="58"/>
      <c r="Q308" s="58"/>
      <c r="R308" s="58"/>
      <c r="S308" s="58"/>
    </row>
    <row r="309" spans="1:19" ht="15" x14ac:dyDescent="0.25">
      <c r="A309" s="119">
        <v>41538</v>
      </c>
      <c r="B309" s="120"/>
      <c r="C309" s="117" t="s">
        <v>413</v>
      </c>
      <c r="D309" s="117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>
        <v>1</v>
      </c>
      <c r="P309" s="58"/>
      <c r="Q309" s="58"/>
      <c r="R309" s="58"/>
      <c r="S309" s="58"/>
    </row>
    <row r="310" spans="1:19" ht="15" x14ac:dyDescent="0.25">
      <c r="A310" s="119">
        <v>41546</v>
      </c>
      <c r="B310" s="118" t="s">
        <v>139</v>
      </c>
      <c r="C310" s="117" t="s">
        <v>364</v>
      </c>
      <c r="D310" s="117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>
        <v>1</v>
      </c>
      <c r="P310" s="58"/>
      <c r="Q310" s="58"/>
      <c r="R310" s="58"/>
      <c r="S310" s="58"/>
    </row>
    <row r="311" spans="1:19" ht="15" x14ac:dyDescent="0.25">
      <c r="A311" s="119">
        <v>41553</v>
      </c>
      <c r="B311" s="118" t="s">
        <v>139</v>
      </c>
      <c r="C311" s="117" t="s">
        <v>364</v>
      </c>
      <c r="D311" s="117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>
        <v>1</v>
      </c>
      <c r="P311" s="58"/>
      <c r="Q311" s="58"/>
      <c r="R311" s="58"/>
      <c r="S311" s="58"/>
    </row>
    <row r="312" spans="1:19" ht="15" x14ac:dyDescent="0.25">
      <c r="A312" s="119">
        <v>41558</v>
      </c>
      <c r="B312" s="118" t="s">
        <v>139</v>
      </c>
      <c r="C312" s="117" t="s">
        <v>415</v>
      </c>
      <c r="D312" s="117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>
        <v>1</v>
      </c>
      <c r="P312" s="58"/>
      <c r="Q312" s="58"/>
      <c r="R312" s="58"/>
      <c r="S312" s="58"/>
    </row>
    <row r="313" spans="1:19" ht="15" x14ac:dyDescent="0.25">
      <c r="A313" s="119">
        <v>41560</v>
      </c>
      <c r="B313" s="118" t="s">
        <v>139</v>
      </c>
      <c r="C313" s="117" t="s">
        <v>416</v>
      </c>
      <c r="D313" s="117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>
        <v>1</v>
      </c>
      <c r="P313" s="58"/>
      <c r="Q313" s="58"/>
      <c r="R313" s="58"/>
      <c r="S313" s="58"/>
    </row>
    <row r="314" spans="1:19" ht="15" x14ac:dyDescent="0.25">
      <c r="A314" s="119">
        <v>41560</v>
      </c>
      <c r="B314" s="118" t="s">
        <v>139</v>
      </c>
      <c r="C314" s="117" t="s">
        <v>364</v>
      </c>
      <c r="D314" s="117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>
        <v>1</v>
      </c>
      <c r="P314" s="58"/>
      <c r="Q314" s="58"/>
      <c r="R314" s="58"/>
      <c r="S314" s="58"/>
    </row>
    <row r="315" spans="1:19" ht="15" x14ac:dyDescent="0.25">
      <c r="A315" s="119">
        <v>41567</v>
      </c>
      <c r="B315" s="118" t="s">
        <v>139</v>
      </c>
      <c r="C315" s="117" t="s">
        <v>364</v>
      </c>
      <c r="D315" s="117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>
        <v>1</v>
      </c>
      <c r="P315" s="58"/>
      <c r="Q315" s="58"/>
      <c r="R315" s="58"/>
      <c r="S315" s="58"/>
    </row>
    <row r="316" spans="1:19" ht="15" x14ac:dyDescent="0.25">
      <c r="A316" s="119">
        <v>41573</v>
      </c>
      <c r="B316" s="118" t="s">
        <v>139</v>
      </c>
      <c r="C316" s="117" t="s">
        <v>419</v>
      </c>
      <c r="D316" s="117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>
        <v>1</v>
      </c>
      <c r="P316" s="58"/>
      <c r="Q316" s="58"/>
      <c r="R316" s="58"/>
      <c r="S316" s="58"/>
    </row>
    <row r="317" spans="1:19" ht="15" x14ac:dyDescent="0.25">
      <c r="A317" s="119">
        <v>41573</v>
      </c>
      <c r="B317" s="118" t="s">
        <v>139</v>
      </c>
      <c r="C317" s="117" t="s">
        <v>419</v>
      </c>
      <c r="D317" s="117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>
        <v>1</v>
      </c>
      <c r="P317" s="58"/>
      <c r="Q317" s="58"/>
      <c r="R317" s="58"/>
      <c r="S317" s="58"/>
    </row>
    <row r="318" spans="1:19" ht="15" x14ac:dyDescent="0.25">
      <c r="A318" s="119">
        <v>41575</v>
      </c>
      <c r="B318" s="118" t="s">
        <v>139</v>
      </c>
      <c r="C318" s="117" t="s">
        <v>419</v>
      </c>
      <c r="D318" s="117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>
        <v>1</v>
      </c>
      <c r="P318" s="58"/>
      <c r="Q318" s="58"/>
      <c r="R318" s="58"/>
      <c r="S318" s="58"/>
    </row>
    <row r="319" spans="1:19" ht="15" x14ac:dyDescent="0.25">
      <c r="A319" s="119">
        <v>41575</v>
      </c>
      <c r="B319" s="118" t="s">
        <v>139</v>
      </c>
      <c r="C319" s="117" t="s">
        <v>419</v>
      </c>
      <c r="D319" s="117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>
        <v>1</v>
      </c>
      <c r="P319" s="58"/>
      <c r="Q319" s="58"/>
      <c r="R319" s="58"/>
      <c r="S319" s="58"/>
    </row>
    <row r="320" spans="1:19" ht="15" x14ac:dyDescent="0.25">
      <c r="A320" s="119">
        <v>41576</v>
      </c>
      <c r="B320" s="118" t="s">
        <v>139</v>
      </c>
      <c r="C320" s="117" t="s">
        <v>419</v>
      </c>
      <c r="D320" s="117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>
        <v>1</v>
      </c>
      <c r="P320" s="58"/>
      <c r="Q320" s="58"/>
      <c r="R320" s="58"/>
      <c r="S320" s="58"/>
    </row>
    <row r="321" spans="1:19" ht="15" x14ac:dyDescent="0.25">
      <c r="A321" s="119">
        <v>41576</v>
      </c>
      <c r="B321" s="118" t="s">
        <v>139</v>
      </c>
      <c r="C321" s="117" t="s">
        <v>419</v>
      </c>
      <c r="D321" s="117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>
        <v>1</v>
      </c>
      <c r="P321" s="58"/>
      <c r="Q321" s="58"/>
      <c r="R321" s="58"/>
      <c r="S321" s="58"/>
    </row>
    <row r="322" spans="1:19" ht="15" x14ac:dyDescent="0.25">
      <c r="A322" s="119">
        <v>41577</v>
      </c>
      <c r="B322" s="118" t="s">
        <v>139</v>
      </c>
      <c r="C322" s="117" t="s">
        <v>419</v>
      </c>
      <c r="D322" s="117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>
        <v>1</v>
      </c>
      <c r="P322" s="58"/>
      <c r="Q322" s="58"/>
      <c r="R322" s="58"/>
      <c r="S322" s="58"/>
    </row>
    <row r="323" spans="1:19" ht="15" x14ac:dyDescent="0.25">
      <c r="A323" s="119">
        <v>41577</v>
      </c>
      <c r="B323" s="118" t="s">
        <v>139</v>
      </c>
      <c r="C323" s="117" t="s">
        <v>419</v>
      </c>
      <c r="D323" s="117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>
        <v>1</v>
      </c>
      <c r="P323" s="58"/>
      <c r="Q323" s="58"/>
      <c r="R323" s="58"/>
      <c r="S323" s="58"/>
    </row>
    <row r="324" spans="1:19" ht="15" x14ac:dyDescent="0.25">
      <c r="A324" s="119">
        <v>41578</v>
      </c>
      <c r="B324" s="118" t="s">
        <v>139</v>
      </c>
      <c r="C324" s="117" t="s">
        <v>419</v>
      </c>
      <c r="D324" s="117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>
        <v>1</v>
      </c>
      <c r="P324" s="58"/>
      <c r="Q324" s="58"/>
      <c r="R324" s="58"/>
      <c r="S324" s="58"/>
    </row>
    <row r="325" spans="1:19" ht="15" x14ac:dyDescent="0.25">
      <c r="A325" s="119">
        <v>41578</v>
      </c>
      <c r="B325" s="118" t="s">
        <v>139</v>
      </c>
      <c r="C325" s="117" t="s">
        <v>419</v>
      </c>
      <c r="D325" s="117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>
        <v>1</v>
      </c>
      <c r="P325" s="58"/>
      <c r="Q325" s="58"/>
      <c r="R325" s="58"/>
      <c r="S325" s="58"/>
    </row>
    <row r="326" spans="1:19" ht="15" x14ac:dyDescent="0.25">
      <c r="A326" s="119">
        <v>41579</v>
      </c>
      <c r="B326" s="118" t="s">
        <v>139</v>
      </c>
      <c r="C326" s="117" t="s">
        <v>419</v>
      </c>
      <c r="D326" s="117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>
        <v>1</v>
      </c>
      <c r="P326" s="58"/>
      <c r="Q326" s="58"/>
      <c r="R326" s="58"/>
      <c r="S326" s="58"/>
    </row>
    <row r="327" spans="1:19" ht="15" x14ac:dyDescent="0.25">
      <c r="A327" s="119">
        <v>41579</v>
      </c>
      <c r="B327" s="118" t="s">
        <v>139</v>
      </c>
      <c r="C327" s="117" t="s">
        <v>419</v>
      </c>
      <c r="D327" s="117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>
        <v>1</v>
      </c>
      <c r="P327" s="58"/>
      <c r="Q327" s="58"/>
      <c r="R327" s="58"/>
      <c r="S327" s="58"/>
    </row>
    <row r="328" spans="1:19" ht="15" x14ac:dyDescent="0.25">
      <c r="A328" s="119">
        <v>41580</v>
      </c>
      <c r="B328" s="118" t="s">
        <v>139</v>
      </c>
      <c r="C328" s="117" t="s">
        <v>419</v>
      </c>
      <c r="D328" s="117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>
        <v>1</v>
      </c>
      <c r="P328" s="58"/>
      <c r="Q328" s="58"/>
      <c r="R328" s="58"/>
      <c r="S328" s="58"/>
    </row>
    <row r="329" spans="1:19" ht="15" x14ac:dyDescent="0.25">
      <c r="A329" s="119">
        <v>41580</v>
      </c>
      <c r="B329" s="118" t="s">
        <v>139</v>
      </c>
      <c r="C329" s="117" t="s">
        <v>419</v>
      </c>
      <c r="D329" s="117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>
        <v>1</v>
      </c>
      <c r="P329" s="58"/>
      <c r="Q329" s="58"/>
      <c r="R329" s="58"/>
      <c r="S329" s="58"/>
    </row>
    <row r="330" spans="1:19" ht="15" x14ac:dyDescent="0.25">
      <c r="A330" s="119">
        <v>41594</v>
      </c>
      <c r="B330" s="118" t="s">
        <v>139</v>
      </c>
      <c r="C330" s="117" t="s">
        <v>422</v>
      </c>
      <c r="D330" s="117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>
        <v>1</v>
      </c>
      <c r="P330" s="58"/>
      <c r="Q330" s="58"/>
      <c r="R330" s="58"/>
      <c r="S330" s="58"/>
    </row>
    <row r="331" spans="1:19" ht="15" x14ac:dyDescent="0.25">
      <c r="A331" s="119">
        <v>41602</v>
      </c>
      <c r="B331" s="118" t="s">
        <v>139</v>
      </c>
      <c r="C331" s="117" t="s">
        <v>423</v>
      </c>
      <c r="D331" s="117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>
        <v>1</v>
      </c>
      <c r="P331" s="58"/>
      <c r="Q331" s="58"/>
      <c r="R331" s="58"/>
      <c r="S331" s="58"/>
    </row>
    <row r="332" spans="1:19" ht="15" x14ac:dyDescent="0.25"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</row>
    <row r="333" spans="1:19" ht="15" x14ac:dyDescent="0.25">
      <c r="A333" s="121">
        <v>41647</v>
      </c>
      <c r="B333" s="122"/>
      <c r="C333" s="123" t="s">
        <v>426</v>
      </c>
      <c r="D333" s="123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>
        <v>1</v>
      </c>
      <c r="Q333" s="58"/>
      <c r="R333" s="58"/>
      <c r="S333" s="58"/>
    </row>
    <row r="334" spans="1:19" ht="15" x14ac:dyDescent="0.25">
      <c r="A334" s="121">
        <v>41668</v>
      </c>
      <c r="B334" s="124" t="s">
        <v>139</v>
      </c>
      <c r="C334" s="123" t="s">
        <v>454</v>
      </c>
      <c r="D334" s="123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>
        <v>1</v>
      </c>
      <c r="Q334" s="58"/>
      <c r="R334" s="58"/>
      <c r="S334" s="58"/>
    </row>
    <row r="335" spans="1:19" ht="15" x14ac:dyDescent="0.25">
      <c r="A335" s="121">
        <v>41673</v>
      </c>
      <c r="B335" s="125"/>
      <c r="C335" s="123" t="s">
        <v>429</v>
      </c>
      <c r="D335" s="123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>
        <v>1</v>
      </c>
      <c r="Q335" s="58"/>
      <c r="R335" s="58"/>
      <c r="S335" s="58"/>
    </row>
    <row r="336" spans="1:19" ht="15" x14ac:dyDescent="0.25">
      <c r="A336" s="121">
        <v>41706</v>
      </c>
      <c r="B336" s="125"/>
      <c r="C336" s="123" t="s">
        <v>433</v>
      </c>
      <c r="D336" s="123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>
        <v>1</v>
      </c>
      <c r="Q336" s="58"/>
      <c r="R336" s="58"/>
      <c r="S336" s="58"/>
    </row>
    <row r="337" spans="1:19" ht="15" x14ac:dyDescent="0.25">
      <c r="A337" s="121">
        <v>41754</v>
      </c>
      <c r="B337" s="125"/>
      <c r="C337" s="123" t="s">
        <v>430</v>
      </c>
      <c r="D337" s="123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>
        <v>1</v>
      </c>
      <c r="Q337" s="58"/>
      <c r="R337" s="58"/>
      <c r="S337" s="58"/>
    </row>
    <row r="338" spans="1:19" ht="15" x14ac:dyDescent="0.25">
      <c r="A338" s="121">
        <v>41754</v>
      </c>
      <c r="B338" s="125"/>
      <c r="C338" s="123" t="s">
        <v>431</v>
      </c>
      <c r="D338" s="123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>
        <v>1</v>
      </c>
      <c r="Q338" s="58"/>
      <c r="R338" s="58"/>
      <c r="S338" s="58"/>
    </row>
    <row r="339" spans="1:19" ht="15" x14ac:dyDescent="0.25">
      <c r="A339" s="121">
        <v>41755</v>
      </c>
      <c r="B339" s="125"/>
      <c r="C339" s="123" t="s">
        <v>431</v>
      </c>
      <c r="D339" s="123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>
        <v>1</v>
      </c>
      <c r="Q339" s="58"/>
      <c r="R339" s="58"/>
      <c r="S339" s="58"/>
    </row>
    <row r="340" spans="1:19" ht="15" x14ac:dyDescent="0.25">
      <c r="A340" s="121">
        <v>41756</v>
      </c>
      <c r="B340" s="125"/>
      <c r="C340" s="123" t="s">
        <v>431</v>
      </c>
      <c r="D340" s="123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>
        <v>1</v>
      </c>
      <c r="Q340" s="58"/>
      <c r="R340" s="58"/>
      <c r="S340" s="58"/>
    </row>
    <row r="341" spans="1:19" ht="15" x14ac:dyDescent="0.25">
      <c r="A341" s="121">
        <v>41783</v>
      </c>
      <c r="B341" s="122"/>
      <c r="C341" s="123" t="s">
        <v>435</v>
      </c>
      <c r="D341" s="123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>
        <v>1</v>
      </c>
      <c r="Q341" s="58"/>
      <c r="R341" s="58"/>
      <c r="S341" s="58"/>
    </row>
    <row r="342" spans="1:19" ht="15" x14ac:dyDescent="0.25">
      <c r="A342" s="126">
        <v>41799</v>
      </c>
      <c r="B342" s="125"/>
      <c r="C342" s="123" t="s">
        <v>436</v>
      </c>
      <c r="D342" s="123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>
        <v>1</v>
      </c>
      <c r="Q342" s="58"/>
      <c r="R342" s="58"/>
      <c r="S342" s="58"/>
    </row>
    <row r="343" spans="1:19" ht="15" x14ac:dyDescent="0.25">
      <c r="A343" s="126">
        <v>41810</v>
      </c>
      <c r="B343" s="125"/>
      <c r="C343" s="123" t="s">
        <v>185</v>
      </c>
      <c r="D343" s="123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>
        <v>1</v>
      </c>
      <c r="Q343" s="58"/>
      <c r="R343" s="58"/>
      <c r="S343" s="58"/>
    </row>
    <row r="344" spans="1:19" ht="15" x14ac:dyDescent="0.25">
      <c r="A344" s="126">
        <v>41813</v>
      </c>
      <c r="B344" s="125"/>
      <c r="C344" s="123" t="s">
        <v>395</v>
      </c>
      <c r="D344" s="123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>
        <v>1</v>
      </c>
      <c r="Q344" s="58"/>
      <c r="R344" s="58"/>
      <c r="S344" s="58"/>
    </row>
    <row r="345" spans="1:19" ht="15" x14ac:dyDescent="0.25">
      <c r="A345" s="126">
        <v>41833</v>
      </c>
      <c r="B345" s="125"/>
      <c r="C345" s="123" t="s">
        <v>439</v>
      </c>
      <c r="D345" s="123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>
        <v>1</v>
      </c>
      <c r="Q345" s="58"/>
      <c r="R345" s="58"/>
      <c r="S345" s="58"/>
    </row>
    <row r="346" spans="1:19" ht="15" x14ac:dyDescent="0.25">
      <c r="A346" s="126">
        <v>41834</v>
      </c>
      <c r="B346" s="125"/>
      <c r="C346" s="123" t="s">
        <v>441</v>
      </c>
      <c r="D346" s="123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>
        <v>1</v>
      </c>
      <c r="Q346" s="58"/>
      <c r="R346" s="58"/>
      <c r="S346" s="58"/>
    </row>
    <row r="347" spans="1:19" ht="15" x14ac:dyDescent="0.25">
      <c r="A347" s="126">
        <v>41916</v>
      </c>
      <c r="B347" s="125"/>
      <c r="C347" s="123" t="s">
        <v>443</v>
      </c>
      <c r="D347" s="123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>
        <v>1</v>
      </c>
      <c r="Q347" s="58"/>
      <c r="R347" s="58"/>
      <c r="S347" s="58"/>
    </row>
    <row r="348" spans="1:19" ht="15" x14ac:dyDescent="0.25">
      <c r="A348" s="126">
        <v>41924</v>
      </c>
      <c r="B348" s="125"/>
      <c r="C348" s="123" t="s">
        <v>444</v>
      </c>
      <c r="D348" s="123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>
        <v>1</v>
      </c>
      <c r="Q348" s="58"/>
      <c r="R348" s="58"/>
      <c r="S348" s="58"/>
    </row>
    <row r="349" spans="1:19" ht="15" x14ac:dyDescent="0.25">
      <c r="A349" s="126">
        <v>41929</v>
      </c>
      <c r="B349" s="125"/>
      <c r="C349" s="123" t="s">
        <v>446</v>
      </c>
      <c r="D349" s="123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>
        <v>1</v>
      </c>
      <c r="Q349" s="58"/>
      <c r="R349" s="58"/>
      <c r="S349" s="58"/>
    </row>
    <row r="350" spans="1:19" ht="15" x14ac:dyDescent="0.25">
      <c r="A350" s="126">
        <v>41931</v>
      </c>
      <c r="B350" s="125"/>
      <c r="C350" s="123" t="s">
        <v>448</v>
      </c>
      <c r="D350" s="123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>
        <v>1</v>
      </c>
      <c r="Q350" s="58"/>
      <c r="R350" s="58"/>
      <c r="S350" s="58"/>
    </row>
    <row r="351" spans="1:19" ht="15" x14ac:dyDescent="0.25">
      <c r="A351" s="126">
        <v>41937</v>
      </c>
      <c r="B351" s="125"/>
      <c r="C351" s="123" t="s">
        <v>450</v>
      </c>
      <c r="D351" s="123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>
        <v>1</v>
      </c>
      <c r="Q351" s="58"/>
      <c r="R351" s="58"/>
      <c r="S351" s="58"/>
    </row>
    <row r="352" spans="1:19" ht="15" x14ac:dyDescent="0.25">
      <c r="A352" s="126">
        <v>41943</v>
      </c>
      <c r="B352" s="125"/>
      <c r="C352" s="123" t="s">
        <v>450</v>
      </c>
      <c r="D352" s="123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>
        <v>1</v>
      </c>
      <c r="Q352" s="58"/>
      <c r="R352" s="58"/>
      <c r="S352" s="58"/>
    </row>
    <row r="353" spans="1:19" ht="15" x14ac:dyDescent="0.25">
      <c r="A353" s="126">
        <v>41945</v>
      </c>
      <c r="B353" s="125"/>
      <c r="C353" s="123" t="s">
        <v>450</v>
      </c>
      <c r="D353" s="123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>
        <v>1</v>
      </c>
      <c r="Q353" s="58"/>
      <c r="R353" s="58"/>
      <c r="S353" s="58"/>
    </row>
    <row r="354" spans="1:19" ht="15" x14ac:dyDescent="0.25">
      <c r="A354" s="126">
        <v>41987</v>
      </c>
      <c r="B354" s="125"/>
      <c r="C354" s="123" t="s">
        <v>453</v>
      </c>
      <c r="D354" s="123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>
        <v>1</v>
      </c>
      <c r="Q354" s="58"/>
      <c r="R354" s="58"/>
      <c r="S354" s="58"/>
    </row>
    <row r="355" spans="1:19" ht="15" x14ac:dyDescent="0.25"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</row>
    <row r="356" spans="1:19" ht="15" x14ac:dyDescent="0.25">
      <c r="A356" s="127">
        <v>42009</v>
      </c>
      <c r="B356" s="128"/>
      <c r="C356" s="129" t="s">
        <v>457</v>
      </c>
      <c r="D356" s="129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>
        <v>1</v>
      </c>
      <c r="R356" s="58"/>
      <c r="S356" s="58"/>
    </row>
    <row r="357" spans="1:19" ht="15" x14ac:dyDescent="0.25">
      <c r="A357" s="127">
        <v>42049</v>
      </c>
      <c r="B357" s="128"/>
      <c r="C357" s="129" t="s">
        <v>456</v>
      </c>
      <c r="D357" s="129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>
        <v>1</v>
      </c>
      <c r="R357" s="58"/>
      <c r="S357" s="58"/>
    </row>
    <row r="358" spans="1:19" ht="15" x14ac:dyDescent="0.25">
      <c r="A358" s="127">
        <v>42092</v>
      </c>
      <c r="B358" s="128"/>
      <c r="C358" s="129" t="s">
        <v>459</v>
      </c>
      <c r="D358" s="129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>
        <v>1</v>
      </c>
      <c r="R358" s="58"/>
      <c r="S358" s="58"/>
    </row>
    <row r="359" spans="1:19" ht="15" x14ac:dyDescent="0.25">
      <c r="A359" s="127">
        <v>42094</v>
      </c>
      <c r="B359" s="128"/>
      <c r="C359" s="129" t="s">
        <v>460</v>
      </c>
      <c r="D359" s="129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>
        <v>1</v>
      </c>
      <c r="R359" s="58"/>
      <c r="S359" s="58"/>
    </row>
    <row r="360" spans="1:19" ht="15" x14ac:dyDescent="0.25">
      <c r="A360" s="127">
        <v>42097</v>
      </c>
      <c r="B360" s="128"/>
      <c r="C360" s="129" t="s">
        <v>461</v>
      </c>
      <c r="D360" s="129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>
        <v>1</v>
      </c>
      <c r="R360" s="58"/>
      <c r="S360" s="58"/>
    </row>
    <row r="361" spans="1:19" ht="15" x14ac:dyDescent="0.25">
      <c r="A361" s="127">
        <v>42106</v>
      </c>
      <c r="B361" s="128"/>
      <c r="C361" s="129" t="s">
        <v>462</v>
      </c>
      <c r="D361" s="129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>
        <v>1</v>
      </c>
      <c r="R361" s="58"/>
      <c r="S361" s="58"/>
    </row>
    <row r="362" spans="1:19" ht="15" x14ac:dyDescent="0.25">
      <c r="A362" s="127">
        <v>42119</v>
      </c>
      <c r="B362" s="128"/>
      <c r="C362" s="129" t="s">
        <v>463</v>
      </c>
      <c r="D362" s="129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>
        <v>1</v>
      </c>
      <c r="R362" s="58"/>
      <c r="S362" s="58"/>
    </row>
    <row r="363" spans="1:19" ht="15" x14ac:dyDescent="0.25">
      <c r="A363" s="127">
        <v>42126</v>
      </c>
      <c r="B363" s="128"/>
      <c r="C363" s="129" t="s">
        <v>465</v>
      </c>
      <c r="D363" s="129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>
        <v>1</v>
      </c>
      <c r="R363" s="58"/>
      <c r="S363" s="58"/>
    </row>
    <row r="364" spans="1:19" ht="15" x14ac:dyDescent="0.25">
      <c r="A364" s="127">
        <v>42133</v>
      </c>
      <c r="B364" s="128"/>
      <c r="C364" s="129" t="s">
        <v>466</v>
      </c>
      <c r="D364" s="129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>
        <v>1</v>
      </c>
      <c r="R364" s="58"/>
      <c r="S364" s="58"/>
    </row>
    <row r="365" spans="1:19" ht="15" x14ac:dyDescent="0.25">
      <c r="A365" s="127">
        <v>42138</v>
      </c>
      <c r="B365" s="128"/>
      <c r="C365" s="129" t="s">
        <v>465</v>
      </c>
      <c r="D365" s="129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>
        <v>1</v>
      </c>
      <c r="R365" s="58"/>
      <c r="S365" s="58"/>
    </row>
    <row r="366" spans="1:19" ht="15" x14ac:dyDescent="0.25">
      <c r="A366" s="127">
        <v>42157</v>
      </c>
      <c r="B366" s="128"/>
      <c r="C366" s="129" t="s">
        <v>468</v>
      </c>
      <c r="D366" s="129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>
        <v>1</v>
      </c>
      <c r="R366" s="58"/>
      <c r="S366" s="58"/>
    </row>
    <row r="367" spans="1:19" ht="15" x14ac:dyDescent="0.25">
      <c r="A367" s="127">
        <v>42160</v>
      </c>
      <c r="B367" s="128"/>
      <c r="C367" s="129" t="s">
        <v>470</v>
      </c>
      <c r="D367" s="129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>
        <v>1</v>
      </c>
      <c r="R367" s="58"/>
      <c r="S367" s="58"/>
    </row>
    <row r="368" spans="1:19" ht="15" x14ac:dyDescent="0.25">
      <c r="A368" s="127">
        <v>42174</v>
      </c>
      <c r="B368" s="128"/>
      <c r="C368" s="129" t="s">
        <v>472</v>
      </c>
      <c r="D368" s="129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>
        <v>1</v>
      </c>
      <c r="R368" s="58"/>
      <c r="S368" s="58"/>
    </row>
    <row r="369" spans="1:19" ht="15" x14ac:dyDescent="0.25">
      <c r="A369" s="127">
        <v>42176</v>
      </c>
      <c r="B369" s="128"/>
      <c r="C369" s="129" t="s">
        <v>474</v>
      </c>
      <c r="D369" s="129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>
        <v>1</v>
      </c>
      <c r="R369" s="58"/>
      <c r="S369" s="58"/>
    </row>
    <row r="370" spans="1:19" ht="15" x14ac:dyDescent="0.25">
      <c r="A370" s="127">
        <v>42177</v>
      </c>
      <c r="B370" s="128"/>
      <c r="C370" s="129" t="s">
        <v>474</v>
      </c>
      <c r="D370" s="129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>
        <v>1</v>
      </c>
      <c r="R370" s="58"/>
      <c r="S370" s="58"/>
    </row>
    <row r="371" spans="1:19" ht="15" x14ac:dyDescent="0.25">
      <c r="A371" s="127">
        <v>42236</v>
      </c>
      <c r="B371" s="128"/>
      <c r="C371" s="129" t="s">
        <v>476</v>
      </c>
      <c r="D371" s="129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>
        <v>1</v>
      </c>
      <c r="R371" s="58"/>
      <c r="S371" s="58"/>
    </row>
    <row r="372" spans="1:19" ht="15" x14ac:dyDescent="0.25">
      <c r="A372" s="127">
        <v>42284</v>
      </c>
      <c r="B372" s="128"/>
      <c r="C372" s="129" t="s">
        <v>477</v>
      </c>
      <c r="D372" s="129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>
        <v>1</v>
      </c>
      <c r="R372" s="58"/>
      <c r="S372" s="58"/>
    </row>
    <row r="373" spans="1:19" ht="15" x14ac:dyDescent="0.25">
      <c r="A373" s="127">
        <v>42287</v>
      </c>
      <c r="B373" s="128"/>
      <c r="C373" s="129" t="s">
        <v>477</v>
      </c>
      <c r="D373" s="129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>
        <v>1</v>
      </c>
      <c r="R373" s="58"/>
      <c r="S373" s="58"/>
    </row>
    <row r="374" spans="1:19" ht="15" x14ac:dyDescent="0.25">
      <c r="A374" s="130">
        <v>42288</v>
      </c>
      <c r="B374" s="128"/>
      <c r="C374" s="131" t="s">
        <v>477</v>
      </c>
      <c r="D374" s="131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>
        <v>1</v>
      </c>
      <c r="R374" s="58"/>
      <c r="S374" s="58"/>
    </row>
    <row r="375" spans="1:19" ht="15" x14ac:dyDescent="0.25">
      <c r="A375" s="127">
        <v>42301</v>
      </c>
      <c r="B375" s="128"/>
      <c r="C375" s="129" t="s">
        <v>450</v>
      </c>
      <c r="D375" s="129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>
        <v>1</v>
      </c>
      <c r="R375" s="58"/>
      <c r="S375" s="58"/>
    </row>
    <row r="376" spans="1:19" ht="15" x14ac:dyDescent="0.25"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</row>
    <row r="377" spans="1:19" ht="15" x14ac:dyDescent="0.25">
      <c r="A377" s="133">
        <v>42421</v>
      </c>
      <c r="B377" s="134"/>
      <c r="C377" s="135" t="s">
        <v>479</v>
      </c>
      <c r="D377" s="135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>
        <v>1</v>
      </c>
      <c r="S377" s="58"/>
    </row>
    <row r="378" spans="1:19" ht="15" x14ac:dyDescent="0.25">
      <c r="A378" s="133">
        <v>42424</v>
      </c>
      <c r="B378" s="134"/>
      <c r="C378" s="135" t="s">
        <v>481</v>
      </c>
      <c r="D378" s="135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>
        <v>1</v>
      </c>
      <c r="S378" s="58"/>
    </row>
    <row r="379" spans="1:19" ht="15" x14ac:dyDescent="0.25">
      <c r="A379" s="133">
        <v>42462</v>
      </c>
      <c r="B379" s="134"/>
      <c r="C379" s="135" t="s">
        <v>483</v>
      </c>
      <c r="D379" s="135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>
        <v>1</v>
      </c>
      <c r="S379" s="58"/>
    </row>
    <row r="380" spans="1:19" ht="15" x14ac:dyDescent="0.25">
      <c r="A380" s="133">
        <v>42463</v>
      </c>
      <c r="B380" s="134"/>
      <c r="C380" s="135" t="s">
        <v>484</v>
      </c>
      <c r="D380" s="135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>
        <v>1</v>
      </c>
      <c r="S380" s="58"/>
    </row>
    <row r="381" spans="1:19" ht="15" x14ac:dyDescent="0.25">
      <c r="A381" s="133">
        <v>42473</v>
      </c>
      <c r="B381" s="134"/>
      <c r="C381" s="135" t="s">
        <v>486</v>
      </c>
      <c r="D381" s="135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>
        <v>1</v>
      </c>
      <c r="S381" s="58"/>
    </row>
    <row r="382" spans="1:19" ht="15" x14ac:dyDescent="0.25">
      <c r="A382" s="133">
        <v>42476</v>
      </c>
      <c r="B382" s="134"/>
      <c r="C382" s="135" t="s">
        <v>487</v>
      </c>
      <c r="D382" s="135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>
        <v>1</v>
      </c>
      <c r="S382" s="58"/>
    </row>
    <row r="383" spans="1:19" ht="15" x14ac:dyDescent="0.25">
      <c r="A383" s="133">
        <v>42491</v>
      </c>
      <c r="B383" s="134"/>
      <c r="C383" s="135" t="s">
        <v>488</v>
      </c>
      <c r="D383" s="135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>
        <v>1</v>
      </c>
      <c r="S383" s="58"/>
    </row>
    <row r="384" spans="1:19" ht="15" x14ac:dyDescent="0.25">
      <c r="A384" s="136">
        <v>42498</v>
      </c>
      <c r="B384" s="134"/>
      <c r="C384" s="135" t="s">
        <v>489</v>
      </c>
      <c r="D384" s="135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>
        <v>1</v>
      </c>
      <c r="S384" s="58"/>
    </row>
    <row r="385" spans="1:19" ht="15" x14ac:dyDescent="0.25">
      <c r="A385" s="136">
        <v>42498</v>
      </c>
      <c r="B385" s="134"/>
      <c r="C385" s="135" t="s">
        <v>490</v>
      </c>
      <c r="D385" s="135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>
        <v>1</v>
      </c>
      <c r="S385" s="58"/>
    </row>
    <row r="386" spans="1:19" ht="15" x14ac:dyDescent="0.25">
      <c r="A386" s="133">
        <v>42501</v>
      </c>
      <c r="B386" s="134"/>
      <c r="C386" s="135" t="s">
        <v>492</v>
      </c>
      <c r="D386" s="135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>
        <v>1</v>
      </c>
      <c r="S386" s="58"/>
    </row>
    <row r="387" spans="1:19" ht="15" x14ac:dyDescent="0.25">
      <c r="A387" s="133">
        <v>42503</v>
      </c>
      <c r="B387" s="134"/>
      <c r="C387" s="135" t="s">
        <v>494</v>
      </c>
      <c r="D387" s="135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>
        <v>1</v>
      </c>
      <c r="S387" s="58"/>
    </row>
    <row r="388" spans="1:19" ht="15" x14ac:dyDescent="0.25">
      <c r="A388" s="133">
        <v>42504</v>
      </c>
      <c r="B388" s="134"/>
      <c r="C388" s="135" t="s">
        <v>494</v>
      </c>
      <c r="D388" s="135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>
        <v>1</v>
      </c>
      <c r="S388" s="58"/>
    </row>
    <row r="389" spans="1:19" ht="15" x14ac:dyDescent="0.25">
      <c r="A389" s="133">
        <v>42505</v>
      </c>
      <c r="B389" s="134"/>
      <c r="C389" s="135" t="s">
        <v>494</v>
      </c>
      <c r="D389" s="135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>
        <v>1</v>
      </c>
      <c r="S389" s="58"/>
    </row>
    <row r="390" spans="1:19" ht="15" x14ac:dyDescent="0.25">
      <c r="A390" s="133">
        <v>42523</v>
      </c>
      <c r="B390" s="134"/>
      <c r="C390" s="135" t="s">
        <v>499</v>
      </c>
      <c r="D390" s="135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>
        <v>1</v>
      </c>
      <c r="S390" s="58"/>
    </row>
    <row r="391" spans="1:19" ht="15" x14ac:dyDescent="0.25">
      <c r="A391" s="133">
        <v>42524</v>
      </c>
      <c r="B391" s="134"/>
      <c r="C391" s="135" t="s">
        <v>499</v>
      </c>
      <c r="D391" s="135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>
        <v>1</v>
      </c>
      <c r="S391" s="58"/>
    </row>
    <row r="392" spans="1:19" ht="15" x14ac:dyDescent="0.25">
      <c r="A392" s="133">
        <v>42526</v>
      </c>
      <c r="B392" s="134"/>
      <c r="C392" s="135" t="s">
        <v>499</v>
      </c>
      <c r="D392" s="135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>
        <v>1</v>
      </c>
      <c r="S392" s="58"/>
    </row>
    <row r="393" spans="1:19" ht="15" x14ac:dyDescent="0.25">
      <c r="A393" s="133">
        <v>42536</v>
      </c>
      <c r="B393" s="134"/>
      <c r="C393" s="135" t="s">
        <v>497</v>
      </c>
      <c r="D393" s="135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>
        <v>1</v>
      </c>
      <c r="S393" s="58"/>
    </row>
    <row r="394" spans="1:19" ht="15" x14ac:dyDescent="0.25">
      <c r="A394" s="133">
        <v>42540</v>
      </c>
      <c r="B394" s="134"/>
      <c r="C394" s="135" t="s">
        <v>502</v>
      </c>
      <c r="D394" s="135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>
        <v>1</v>
      </c>
      <c r="S394" s="58"/>
    </row>
    <row r="395" spans="1:19" ht="15" x14ac:dyDescent="0.25">
      <c r="A395" s="133">
        <v>42541</v>
      </c>
      <c r="B395" s="134"/>
      <c r="C395" s="135" t="s">
        <v>504</v>
      </c>
      <c r="D395" s="135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>
        <v>1</v>
      </c>
      <c r="S395" s="58"/>
    </row>
    <row r="396" spans="1:19" ht="15" x14ac:dyDescent="0.25">
      <c r="A396" s="133">
        <v>42544</v>
      </c>
      <c r="B396" s="134"/>
      <c r="C396" s="135" t="s">
        <v>505</v>
      </c>
      <c r="D396" s="135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>
        <v>1</v>
      </c>
      <c r="S396" s="58"/>
    </row>
    <row r="397" spans="1:19" ht="15" x14ac:dyDescent="0.25">
      <c r="A397" s="133">
        <v>42553</v>
      </c>
      <c r="B397" s="134"/>
      <c r="C397" s="135" t="s">
        <v>506</v>
      </c>
      <c r="D397" s="135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>
        <v>1</v>
      </c>
      <c r="S397" s="58"/>
    </row>
    <row r="398" spans="1:19" ht="15" x14ac:dyDescent="0.25">
      <c r="A398" s="136">
        <v>42554</v>
      </c>
      <c r="B398" s="134"/>
      <c r="C398" s="135" t="s">
        <v>507</v>
      </c>
      <c r="D398" s="135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>
        <v>1</v>
      </c>
      <c r="S398" s="58"/>
    </row>
    <row r="399" spans="1:19" ht="15" x14ac:dyDescent="0.25">
      <c r="A399" s="136">
        <v>42554</v>
      </c>
      <c r="B399" s="134"/>
      <c r="C399" s="135" t="s">
        <v>506</v>
      </c>
      <c r="D399" s="135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>
        <v>1</v>
      </c>
      <c r="S399" s="58"/>
    </row>
    <row r="400" spans="1:19" ht="15" x14ac:dyDescent="0.25">
      <c r="A400" s="133">
        <v>42555</v>
      </c>
      <c r="B400" s="134"/>
      <c r="C400" s="135" t="s">
        <v>509</v>
      </c>
      <c r="D400" s="135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>
        <v>1</v>
      </c>
      <c r="S400" s="58"/>
    </row>
    <row r="401" spans="1:19" ht="15" x14ac:dyDescent="0.25">
      <c r="A401" s="133">
        <v>42574</v>
      </c>
      <c r="B401" s="134"/>
      <c r="C401" s="135" t="s">
        <v>511</v>
      </c>
      <c r="D401" s="135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>
        <v>1</v>
      </c>
      <c r="S401" s="58"/>
    </row>
    <row r="402" spans="1:19" ht="15" x14ac:dyDescent="0.25">
      <c r="A402" s="133">
        <v>42583</v>
      </c>
      <c r="B402" s="134"/>
      <c r="C402" s="137" t="s">
        <v>513</v>
      </c>
      <c r="D402" s="137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>
        <v>1</v>
      </c>
      <c r="S402" s="58"/>
    </row>
    <row r="403" spans="1:19" ht="15" x14ac:dyDescent="0.25">
      <c r="A403" s="133">
        <v>42584</v>
      </c>
      <c r="B403" s="134"/>
      <c r="C403" s="137" t="s">
        <v>513</v>
      </c>
      <c r="D403" s="137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>
        <v>1</v>
      </c>
      <c r="S403" s="58"/>
    </row>
    <row r="404" spans="1:19" ht="15" x14ac:dyDescent="0.25">
      <c r="A404" s="133">
        <v>42613</v>
      </c>
      <c r="B404" s="134"/>
      <c r="C404" s="135" t="s">
        <v>515</v>
      </c>
      <c r="D404" s="135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>
        <v>1</v>
      </c>
      <c r="S404" s="58"/>
    </row>
    <row r="405" spans="1:19" ht="15" x14ac:dyDescent="0.25">
      <c r="A405" s="133">
        <v>42624</v>
      </c>
      <c r="B405" s="138" t="s">
        <v>519</v>
      </c>
      <c r="C405" s="135" t="s">
        <v>517</v>
      </c>
      <c r="D405" s="135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>
        <v>1</v>
      </c>
      <c r="S405" s="58"/>
    </row>
    <row r="406" spans="1:19" ht="15" x14ac:dyDescent="0.25">
      <c r="A406" s="133">
        <v>42637</v>
      </c>
      <c r="B406" s="138" t="s">
        <v>519</v>
      </c>
      <c r="C406" s="135" t="s">
        <v>518</v>
      </c>
      <c r="D406" s="135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>
        <v>1</v>
      </c>
      <c r="S406" s="58"/>
    </row>
    <row r="408" spans="1:19" x14ac:dyDescent="0.2">
      <c r="A408" s="139">
        <v>42820</v>
      </c>
      <c r="B408" s="138" t="s">
        <v>519</v>
      </c>
      <c r="C408" s="140" t="s">
        <v>521</v>
      </c>
      <c r="D408" s="140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28</vt:i4>
      </vt:variant>
    </vt:vector>
  </HeadingPairs>
  <TitlesOfParts>
    <vt:vector size="28" baseType="lpstr"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RIEPILOGO SERVIZI VENTENNIO OLD</vt:lpstr>
      <vt:lpstr>2023</vt:lpstr>
      <vt:lpstr>2024</vt:lpstr>
      <vt:lpstr>2025</vt:lpstr>
      <vt:lpstr>2026</vt:lpstr>
      <vt:lpstr>RIEPILOGO</vt:lpstr>
      <vt:lpstr>Foglio1</vt:lpstr>
      <vt:lpstr>RIEPILOGO SERVIZI</vt:lpstr>
    </vt:vector>
  </TitlesOfParts>
  <Company>Francesco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Torino</cp:lastModifiedBy>
  <cp:lastPrinted>2026-09-20T15:18:55Z</cp:lastPrinted>
  <dcterms:created xsi:type="dcterms:W3CDTF">2003-12-20T14:51:42Z</dcterms:created>
  <dcterms:modified xsi:type="dcterms:W3CDTF">2026-10-11T16:45:36Z</dcterms:modified>
</cp:coreProperties>
</file>